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Mohit\Downloads\"/>
    </mc:Choice>
  </mc:AlternateContent>
  <xr:revisionPtr revIDLastSave="0" documentId="13_ncr:1_{AA26D20A-0AE9-4DF3-BD50-228E2377842D}" xr6:coauthVersionLast="47" xr6:coauthVersionMax="47" xr10:uidLastSave="{00000000-0000-0000-0000-000000000000}"/>
  <bookViews>
    <workbookView xWindow="-108" yWindow="-108" windowWidth="23256" windowHeight="13176" tabRatio="500" firstSheet="2" activeTab="4" xr2:uid="{00000000-000D-0000-FFFF-FFFF00000000}"/>
  </bookViews>
  <sheets>
    <sheet name="Balance Sheet" sheetId="1" r:id="rId1"/>
    <sheet name="Quarterly Balance &amp; Price" sheetId="2" r:id="rId2"/>
    <sheet name="Scenario Analysis" sheetId="3" r:id="rId3"/>
    <sheet name="India Import Analysis" sheetId="4" r:id="rId4"/>
    <sheet name="Formula Reference" sheetId="5" r:id="rId5"/>
  </sheets>
  <calcPr calcId="0" iterateDelta="1E-4"/>
</workbook>
</file>

<file path=xl/sharedStrings.xml><?xml version="1.0" encoding="utf-8"?>
<sst xmlns="http://schemas.openxmlformats.org/spreadsheetml/2006/main" count="294" uniqueCount="219">
  <si>
    <t>Crude Oil Balance &amp; Price Model</t>
  </si>
  <si>
    <t>Country-level supply-demand balance (mb/d) | Analyst: Mohit Das | MSc Economics, GIPE Pune | Dec 2025 – Jan 2026</t>
  </si>
  <si>
    <t>Sources: IEA Oil Market Report, OPEC Monthly Oil Market Report, EIA Short-Term Energy Outlook | Period: Q4 2024 Actuals</t>
  </si>
  <si>
    <t>Country</t>
  </si>
  <si>
    <t>Group</t>
  </si>
  <si>
    <t>Production
(mb/d)</t>
  </si>
  <si>
    <t>Consumption
(mb/d)</t>
  </si>
  <si>
    <t>Imports
(mb/d)</t>
  </si>
  <si>
    <t>Exports
(mb/d)</t>
  </si>
  <si>
    <t>Net Balance
(mb/d)</t>
  </si>
  <si>
    <t>Demand Risk</t>
  </si>
  <si>
    <t>OPEC Quota
(mb/d)</t>
  </si>
  <si>
    <t>Quota Gap
(mb/d)</t>
  </si>
  <si>
    <t>OPEC Member States</t>
  </si>
  <si>
    <t>Saudi Arabia</t>
  </si>
  <si>
    <t>OPEC</t>
  </si>
  <si>
    <t>+7.45</t>
  </si>
  <si>
    <t>Low</t>
  </si>
  <si>
    <t>Iraq</t>
  </si>
  <si>
    <t>+3.43</t>
  </si>
  <si>
    <t>UAE</t>
  </si>
  <si>
    <t>+2.97</t>
  </si>
  <si>
    <t>Kuwait</t>
  </si>
  <si>
    <t>+2.17</t>
  </si>
  <si>
    <t>Iran</t>
  </si>
  <si>
    <t>+1.12</t>
  </si>
  <si>
    <t>High</t>
  </si>
  <si>
    <t>N/A</t>
  </si>
  <si>
    <t>Venezuela</t>
  </si>
  <si>
    <t>+0.32</t>
  </si>
  <si>
    <t>Non-OPEC Producers</t>
  </si>
  <si>
    <t>United States</t>
  </si>
  <si>
    <t>Non-OPEC</t>
  </si>
  <si>
    <t>−3.27</t>
  </si>
  <si>
    <t>Med</t>
  </si>
  <si>
    <t>—</t>
  </si>
  <si>
    <t>Russia</t>
  </si>
  <si>
    <t>+5.76</t>
  </si>
  <si>
    <t>Canada</t>
  </si>
  <si>
    <t>+3.82</t>
  </si>
  <si>
    <t>China</t>
  </si>
  <si>
    <t>−11.72</t>
  </si>
  <si>
    <t>Norway</t>
  </si>
  <si>
    <t>+1.73</t>
  </si>
  <si>
    <t>India</t>
  </si>
  <si>
    <t>−4.61</t>
  </si>
  <si>
    <t>Aggregated Totals  —  Formulas: =SUMIF(B2:B19,"OPEC",C2:C19) etc.</t>
  </si>
  <si>
    <t>OPEC Total</t>
  </si>
  <si>
    <t>'=sumif</t>
  </si>
  <si>
    <t>+17.46</t>
  </si>
  <si>
    <t>Net Surplus</t>
  </si>
  <si>
    <t>Non-OPEC Total</t>
  </si>
  <si>
    <t>−14.05</t>
  </si>
  <si>
    <t>Net Deficit</t>
  </si>
  <si>
    <t>GLOBAL TOTAL</t>
  </si>
  <si>
    <t>All</t>
  </si>
  <si>
    <t>+5.22</t>
  </si>
  <si>
    <t>Surplus → Bearish</t>
  </si>
  <si>
    <t>Key Formulas Used: Net Balance = Production − Consumption + Imports − Exports  |  OPEC Total = SUMIF(B:B,"OPEC",col)  |  Risk = IF(NetBalance&gt;2,"Low",IF(NetBalance&gt;0,"Med","High"))</t>
  </si>
  <si>
    <t>Quarterly Supply-Demand (Actual + Forecast)</t>
  </si>
  <si>
    <t>Source: IEA OMR, EIA STEO | Forecast period shaded amber | Analyst: Mohit Das</t>
  </si>
  <si>
    <t>Quarter</t>
  </si>
  <si>
    <t>Type</t>
  </si>
  <si>
    <t>Global Supply
(mb/d)</t>
  </si>
  <si>
    <t>Global Demand
(mb/d)</t>
  </si>
  <si>
    <t>Brent Price
(USD/bbl)</t>
  </si>
  <si>
    <t>India Import
Bill (₹ Cr est.)</t>
  </si>
  <si>
    <t>Market Status</t>
  </si>
  <si>
    <t>Supply</t>
  </si>
  <si>
    <t>Demand</t>
  </si>
  <si>
    <t>Brent Price</t>
  </si>
  <si>
    <t>Q1 2024</t>
  </si>
  <si>
    <t>Actual</t>
  </si>
  <si>
    <t>₹95</t>
  </si>
  <si>
    <t>Mild Deficit</t>
  </si>
  <si>
    <t>Q2 2024</t>
  </si>
  <si>
    <t>₹100</t>
  </si>
  <si>
    <t>Q3 2024</t>
  </si>
  <si>
    <t>₹102</t>
  </si>
  <si>
    <t>Deficit</t>
  </si>
  <si>
    <t>Q4 2024</t>
  </si>
  <si>
    <t>₹97</t>
  </si>
  <si>
    <t>Q1F 2025</t>
  </si>
  <si>
    <t>Forecast</t>
  </si>
  <si>
    <t>₹98</t>
  </si>
  <si>
    <t>Q2F 2025</t>
  </si>
  <si>
    <t>₹96</t>
  </si>
  <si>
    <t>Balanced</t>
  </si>
  <si>
    <t>Q3F 2025</t>
  </si>
  <si>
    <t>₹103</t>
  </si>
  <si>
    <t>Brent Price Scenario Analysis — 2025 Forecast Model</t>
  </si>
  <si>
    <t>A. MODEL ASSUMPTIONS (Blue cells = inputs, change to run scenarios)</t>
  </si>
  <si>
    <t>Assumption</t>
  </si>
  <si>
    <t>Variable Name</t>
  </si>
  <si>
    <t>Value</t>
  </si>
  <si>
    <t>Unit</t>
  </si>
  <si>
    <t>Notes</t>
  </si>
  <si>
    <t>Base Brent Price</t>
  </si>
  <si>
    <t>Base_Price</t>
  </si>
  <si>
    <t>USD/bbl</t>
  </si>
  <si>
    <t>Q4 2024 average</t>
  </si>
  <si>
    <t>OPEC+ Cut (additional)</t>
  </si>
  <si>
    <t>ScenarioCut</t>
  </si>
  <si>
    <t>mb/d</t>
  </si>
  <si>
    <t>Hypothetical voluntary cut</t>
  </si>
  <si>
    <t>Geopolitical Risk Premium</t>
  </si>
  <si>
    <t>GeoPremium</t>
  </si>
  <si>
    <t>Middle East tension proxy</t>
  </si>
  <si>
    <t>Non-OPEC Supply Increase</t>
  </si>
  <si>
    <t>SupplyIncrease</t>
  </si>
  <si>
    <t>US shale + Canada growth</t>
  </si>
  <si>
    <t>Demand Change (China/India)</t>
  </si>
  <si>
    <t>DemandDelta</t>
  </si>
  <si>
    <t>Net global demand growth</t>
  </si>
  <si>
    <t>USD/INR Rate</t>
  </si>
  <si>
    <t>USDINR</t>
  </si>
  <si>
    <t>₹/USD</t>
  </si>
  <si>
    <t>RBI reference rate assumption</t>
  </si>
  <si>
    <t>B. SCENARIO OUTPUT  —  Formulas reference assumption cells above</t>
  </si>
  <si>
    <t>Scenario</t>
  </si>
  <si>
    <t>Logic</t>
  </si>
  <si>
    <t>OPEC Supply
(mb/d)</t>
  </si>
  <si>
    <t>Forecast Price
(USD/bbl)</t>
  </si>
  <si>
    <t>Price Range</t>
  </si>
  <si>
    <t>Probabilty</t>
  </si>
  <si>
    <t>Rationale</t>
  </si>
  <si>
    <t xml:space="preserve"> Bullish Case</t>
  </si>
  <si>
    <t>OPEC cuts + geopolitical supply shock</t>
  </si>
  <si>
    <t>$90 – $104</t>
  </si>
  <si>
    <t>Low probability; requires supply disruption + coordinated cuts</t>
  </si>
  <si>
    <t xml:space="preserve"> Base Case</t>
  </si>
  <si>
    <t>Current output maintained, moderate demand growth</t>
  </si>
  <si>
    <t>$79 – $88</t>
  </si>
  <si>
    <t>Most likely; reflects current supply-demand conditions</t>
  </si>
  <si>
    <t xml:space="preserve"> Bearish Case</t>
  </si>
  <si>
    <t>Demand slowdown + non-OPEC surge</t>
  </si>
  <si>
    <t>$58 – $70</t>
  </si>
  <si>
    <t>Downside risk; depends on weak demand + rising non-OPEC supply</t>
  </si>
  <si>
    <t>C. PRICE DERIVATION FORMULAS (documented for transparency)</t>
  </si>
  <si>
    <t>Formula</t>
  </si>
  <si>
    <t>Calculation Trace</t>
  </si>
  <si>
    <t>Bull Price</t>
  </si>
  <si>
    <t>'=base_price + (scenariocut × 8.5) + GeoPremium − (SupplyIncrease × 2))</t>
  </si>
  <si>
    <t>$83 + (1.5×8.5) + $4 − (0.8×2) = $95</t>
  </si>
  <si>
    <t>Base Price</t>
  </si>
  <si>
    <t>'=base_price + (scenariocut × 4) + (GeoPremium × 0.4) + (DemandDelta × 2) − (SupplyIncrease × 1.5))</t>
  </si>
  <si>
    <t>$83 + 6 + 1.6 + 1 − 1.2 = $83</t>
  </si>
  <si>
    <t>Bear Price</t>
  </si>
  <si>
    <t>'=base_price − (|DemandDrop| × 6.2) − (SupplyGlut × 4.1)</t>
  </si>
  <si>
    <t>$83 − (1.5×6.2) − (2×4.1) = ~$64</t>
  </si>
  <si>
    <t>India Crude Oil Import Sensitivity — Balance of Payments Impact</t>
  </si>
  <si>
    <t>Source: PPAC (Petroleum Planning &amp; Analysis Cell), MoP&amp;NG | India's crude import: ~4.68 mb/d (2024)</t>
  </si>
  <si>
    <t>A. IMPORT BILL SENSITIVITY TO BRENT PRICE (India imports ≈ 4.68 mb/d)</t>
  </si>
  <si>
    <t>Brent Price (USD/bbl)</t>
  </si>
  <si>
    <t>Daily Import Volume (mb/d)</t>
  </si>
  <si>
    <t>Daily Cost (USD mn)</t>
  </si>
  <si>
    <t>Monthly Cost (USD bn)</t>
  </si>
  <si>
    <t>Annual Cost (USD bn)</t>
  </si>
  <si>
    <t>USD/INR</t>
  </si>
  <si>
    <t>Annual Bill (₹ Lakh Cr)</t>
  </si>
  <si>
    <t>$83 ← Base Case</t>
  </si>
  <si>
    <t>📌 Insight: India’s import bill sensitivity rises sharply beyond ~$80/bbl, where incremental increases begin to exert disproportionate pressure on the current account deficit. At the base case (~$83/bbl), the import burden is already elevated, leaving limited buffer against external shocks.</t>
  </si>
  <si>
    <t>Excel Formulas Used in This Model</t>
  </si>
  <si>
    <t>Cell Ref</t>
  </si>
  <si>
    <t>Purpose</t>
  </si>
  <si>
    <t>Sheet</t>
  </si>
  <si>
    <t>Output Type</t>
  </si>
  <si>
    <t>G14</t>
  </si>
  <si>
    <t>'=SUMIF(B$2:B$13,"OPEC",F$2:F$13)</t>
  </si>
  <si>
    <t>Sum exports for OPEC countries</t>
  </si>
  <si>
    <t>Balance Sheet</t>
  </si>
  <si>
    <t>Number</t>
  </si>
  <si>
    <t>G15</t>
  </si>
  <si>
    <t>'=SUMIFS(F$2:F$13,B$2:B$13,"Non-OPEC")</t>
  </si>
  <si>
    <t>Sum exports for Non-OPEC countries</t>
  </si>
  <si>
    <t>H2</t>
  </si>
  <si>
    <t>'=IF(G2&gt;0,"Surplus",IF(G2&lt;0,"Deficit","Balanced"))</t>
  </si>
  <si>
    <t>Auto-classify balance position</t>
  </si>
  <si>
    <t>Text</t>
  </si>
  <si>
    <t>I2</t>
  </si>
  <si>
    <t>'=IF(G2&gt;2,"Low",IF(G2&gt;0,"Med","High"))</t>
  </si>
  <si>
    <t>Risk bucket from net balance</t>
  </si>
  <si>
    <t>E5:E11</t>
  </si>
  <si>
    <t>'=C5-D5+E5-F5</t>
  </si>
  <si>
    <t>Net Balance = Prod − Cons + Imp − Exp</t>
  </si>
  <si>
    <t>Calc</t>
  </si>
  <si>
    <t>G16</t>
  </si>
  <si>
    <t>'=SUMPRODUCT((B2:B13="OPEC")*(G2:G13))</t>
  </si>
  <si>
    <t>Weighted OPEC net position</t>
  </si>
  <si>
    <t>C16</t>
  </si>
  <si>
    <t>'=xlookup("Base Case",A20:A22,C20:C22)</t>
  </si>
  <si>
    <t>Pull base price from scenario table</t>
  </si>
  <si>
    <t>Scenarios</t>
  </si>
  <si>
    <t>Lookup</t>
  </si>
  <si>
    <t>F15</t>
  </si>
  <si>
    <t>'=C7+(C8*8.5)+C9-(C10*2)</t>
  </si>
  <si>
    <t>Bullish price formula</t>
  </si>
  <si>
    <t>F16</t>
  </si>
  <si>
    <t>'=C7+(C8*4)+(C9*0.4)+(C11*2)-(C10*1.5)</t>
  </si>
  <si>
    <t>Base price formula</t>
  </si>
  <si>
    <t>F17</t>
  </si>
  <si>
    <t>'=C7-(ABS(C11)*6.2)-(C10*4.1)</t>
  </si>
  <si>
    <t>Bearish price formula</t>
  </si>
  <si>
    <t>G6</t>
  </si>
  <si>
    <t>'=D6*30*F6*C12/10000</t>
  </si>
  <si>
    <t>India monthly import bill (₹ Cr)</t>
  </si>
  <si>
    <t>India Analysis</t>
  </si>
  <si>
    <t>H6</t>
  </si>
  <si>
    <t>'=G6*12/100000</t>
  </si>
  <si>
    <t>Annual import bill (₹ Lakh Cr)</t>
  </si>
  <si>
    <t>E5</t>
  </si>
  <si>
    <t>'=C5-D5</t>
  </si>
  <si>
    <t>Quarterly net balance</t>
  </si>
  <si>
    <t>Qtrly Balance</t>
  </si>
  <si>
    <t>PivotSum</t>
  </si>
  <si>
    <t>Pivot: Row=Group, Values=SUM(Production)</t>
  </si>
  <si>
    <t>OPEC vs Non-OPEC aggregation</t>
  </si>
  <si>
    <t>PivotTable</t>
  </si>
  <si>
    <t>Pivot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</si>
</sst>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2" x14ac:knownFonts="1">
    <font>
      <sz val="11"/>
      <color theme="1"/>
      <name val="Calibri"/>
      <family val="2"/>
      <charset val="1"/>
    </font>
    <font>
      <sz val="11"/>
      <color theme="1"/>
      <name val="Calibri"/>
      <family val="2"/>
      <scheme val="minor"/>
    </font>
    <font>
      <sz val="10"/>
      <name val="Arial"/>
      <family val="2"/>
    </font>
    <font>
      <i/>
      <sz val="10"/>
      <color rgb="FF595959"/>
      <name val="Arial"/>
      <family val="2"/>
    </font>
    <font>
      <i/>
      <sz val="9"/>
      <color rgb="FF888888"/>
      <name val="Arial"/>
      <family val="2"/>
    </font>
    <font>
      <b/>
      <sz val="10"/>
      <color rgb="FFFFFFFF"/>
      <name val="Arial"/>
      <family val="2"/>
    </font>
    <font>
      <sz val="10"/>
      <color rgb="FF000000"/>
      <name val="Arial"/>
      <family val="2"/>
    </font>
    <font>
      <sz val="10"/>
      <color rgb="FF0000FF"/>
      <name val="Arial"/>
      <family val="2"/>
    </font>
    <font>
      <b/>
      <sz val="10"/>
      <color rgb="FF1A8040"/>
      <name val="Arial"/>
      <family val="2"/>
    </font>
    <font>
      <b/>
      <sz val="10"/>
      <color rgb="FF000000"/>
      <name val="Arial"/>
      <family val="2"/>
    </font>
    <font>
      <b/>
      <sz val="10"/>
      <color rgb="FFC0392B"/>
      <name val="Arial"/>
      <family val="2"/>
    </font>
    <font>
      <b/>
      <sz val="10"/>
      <color rgb="FF1A5FA8"/>
      <name val="Arial"/>
      <family val="2"/>
    </font>
    <font>
      <b/>
      <sz val="13"/>
      <color rgb="FFFFFFFF"/>
      <name val="Arial"/>
      <family val="2"/>
    </font>
    <font>
      <i/>
      <sz val="9"/>
      <color rgb="FF777777"/>
      <name val="Arial"/>
      <family val="2"/>
    </font>
    <font>
      <b/>
      <sz val="10"/>
      <color rgb="FFD07000"/>
      <name val="Arial"/>
      <family val="2"/>
    </font>
    <font>
      <b/>
      <sz val="11"/>
      <color rgb="FFFFFFFF"/>
      <name val="Arial"/>
      <family val="2"/>
    </font>
    <font>
      <i/>
      <sz val="10"/>
      <color rgb="FF555555"/>
      <name val="Arial"/>
      <family val="2"/>
    </font>
    <font>
      <sz val="10"/>
      <color rgb="FF1A8040"/>
      <name val="Arial"/>
      <family val="2"/>
    </font>
    <font>
      <sz val="10"/>
      <color rgb="FF1A3C5E"/>
      <name val="Arial"/>
      <family val="2"/>
    </font>
    <font>
      <sz val="10"/>
      <color rgb="FF555555"/>
      <name val="Arial"/>
      <family val="2"/>
    </font>
    <font>
      <sz val="11"/>
      <color theme="3"/>
      <name val="Calibri"/>
      <family val="2"/>
      <charset val="1"/>
    </font>
    <font>
      <b/>
      <sz val="10"/>
      <name val="Arial"/>
      <family val="2"/>
    </font>
    <font>
      <sz val="9"/>
      <name val="Calibri"/>
      <family val="2"/>
      <scheme val="minor"/>
    </font>
    <font>
      <i/>
      <sz val="9"/>
      <name val="Calibri"/>
      <family val="2"/>
      <scheme val="minor"/>
    </font>
    <font>
      <b/>
      <sz val="11"/>
      <name val="Arial"/>
      <family val="2"/>
    </font>
    <font>
      <sz val="11"/>
      <name val="Calibri"/>
      <family val="2"/>
      <charset val="1"/>
    </font>
    <font>
      <b/>
      <sz val="13"/>
      <name val="Arial"/>
      <family val="2"/>
    </font>
    <font>
      <b/>
      <sz val="13"/>
      <color theme="1"/>
      <name val="Arial"/>
      <family val="2"/>
    </font>
    <font>
      <sz val="11"/>
      <color theme="0"/>
      <name val="Calibri"/>
      <family val="2"/>
      <charset val="1"/>
    </font>
    <font>
      <i/>
      <sz val="9"/>
      <color rgb="FF777777"/>
      <name val="Calibri"/>
      <family val="2"/>
      <scheme val="minor"/>
    </font>
    <font>
      <b/>
      <sz val="14"/>
      <name val="Arial"/>
      <family val="2"/>
    </font>
    <font>
      <sz val="9"/>
      <color rgb="FF555555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rgb="FF1A3C5E"/>
        <bgColor rgb="FF2C3E50"/>
      </patternFill>
    </fill>
    <fill>
      <patternFill patternType="solid">
        <fgColor rgb="FF1A5FA8"/>
        <bgColor rgb="FF0A6B50"/>
      </patternFill>
    </fill>
    <fill>
      <patternFill patternType="solid">
        <fgColor rgb="FFC6EFCE"/>
        <bgColor rgb="FFD6F5E8"/>
      </patternFill>
    </fill>
    <fill>
      <patternFill patternType="solid">
        <fgColor rgb="FFEBF4FF"/>
        <bgColor rgb="FFE8F4FD"/>
      </patternFill>
    </fill>
    <fill>
      <patternFill patternType="solid">
        <fgColor rgb="FFFFC7CE"/>
        <bgColor rgb="FFFFDBD9"/>
      </patternFill>
    </fill>
    <fill>
      <patternFill patternType="solid">
        <fgColor rgb="FF2D7D46"/>
        <bgColor rgb="FF1A8040"/>
      </patternFill>
    </fill>
    <fill>
      <patternFill patternType="solid">
        <fgColor rgb="FFFFEB9C"/>
        <bgColor rgb="FFFFF3CD"/>
      </patternFill>
    </fill>
    <fill>
      <patternFill patternType="solid">
        <fgColor rgb="FF2C3E50"/>
        <bgColor rgb="FF1A3C5E"/>
      </patternFill>
    </fill>
    <fill>
      <patternFill patternType="solid">
        <fgColor rgb="FFF2F2F2"/>
        <bgColor rgb="FFEBF4FF"/>
      </patternFill>
    </fill>
    <fill>
      <patternFill patternType="solid">
        <fgColor rgb="FFD6E4F7"/>
        <bgColor rgb="FFD9D9D9"/>
      </patternFill>
    </fill>
    <fill>
      <patternFill patternType="solid">
        <fgColor rgb="FFFFFDE7"/>
        <bgColor rgb="FFFFFFFF"/>
      </patternFill>
    </fill>
    <fill>
      <patternFill patternType="solid">
        <fgColor rgb="FFFFFFFF"/>
        <bgColor rgb="FFFFFDE7"/>
      </patternFill>
    </fill>
    <fill>
      <patternFill patternType="solid">
        <fgColor rgb="FFFFF3CD"/>
        <bgColor rgb="FFFFFDE7"/>
      </patternFill>
    </fill>
    <fill>
      <patternFill patternType="solid">
        <fgColor rgb="FFD6F5E8"/>
        <bgColor rgb="FFE8F4FD"/>
      </patternFill>
    </fill>
    <fill>
      <patternFill patternType="solid">
        <fgColor rgb="FFFFDBD9"/>
        <bgColor rgb="FFFFC7CE"/>
      </patternFill>
    </fill>
    <fill>
      <patternFill patternType="solid">
        <fgColor rgb="FFE8F4FD"/>
        <bgColor rgb="FFEBF4FF"/>
      </patternFill>
    </fill>
    <fill>
      <patternFill patternType="solid">
        <fgColor theme="0"/>
        <bgColor rgb="FF0A6B5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2C3E50"/>
      </patternFill>
    </fill>
  </fills>
  <borders count="3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/>
      <right/>
      <top/>
      <bottom style="thin">
        <color rgb="FFC0C0C0"/>
      </bottom>
      <diagonal/>
    </border>
  </borders>
  <cellStyleXfs count="1">
    <xf numFmtId="0" fontId="0" fillId="0" borderId="0"/>
  </cellStyleXfs>
  <cellXfs count="101">
    <xf numFmtId="0" fontId="0" fillId="0" borderId="0" xfId="0"/>
    <xf numFmtId="0" fontId="5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left" vertical="center"/>
    </xf>
    <xf numFmtId="0" fontId="6" fillId="5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/>
    </xf>
    <xf numFmtId="0" fontId="10" fillId="6" borderId="1" xfId="0" applyFont="1" applyFill="1" applyBorder="1" applyAlignment="1">
      <alignment horizontal="center" vertical="center"/>
    </xf>
    <xf numFmtId="0" fontId="9" fillId="8" borderId="1" xfId="0" applyFont="1" applyFill="1" applyBorder="1" applyAlignment="1">
      <alignment horizontal="center" vertical="center"/>
    </xf>
    <xf numFmtId="0" fontId="9" fillId="10" borderId="1" xfId="0" applyFont="1" applyFill="1" applyBorder="1" applyAlignment="1">
      <alignment horizontal="left" vertical="center"/>
    </xf>
    <xf numFmtId="0" fontId="9" fillId="10" borderId="1" xfId="0" applyFont="1" applyFill="1" applyBorder="1" applyAlignment="1">
      <alignment horizontal="center" vertical="center"/>
    </xf>
    <xf numFmtId="0" fontId="8" fillId="10" borderId="1" xfId="0" applyFont="1" applyFill="1" applyBorder="1" applyAlignment="1">
      <alignment horizontal="center" vertical="center"/>
    </xf>
    <xf numFmtId="0" fontId="10" fillId="10" borderId="1" xfId="0" applyFont="1" applyFill="1" applyBorder="1" applyAlignment="1">
      <alignment horizontal="center" vertical="center"/>
    </xf>
    <xf numFmtId="0" fontId="11" fillId="11" borderId="1" xfId="0" applyFont="1" applyFill="1" applyBorder="1" applyAlignment="1">
      <alignment horizontal="left" vertical="center"/>
    </xf>
    <xf numFmtId="0" fontId="11" fillId="11" borderId="1" xfId="0" applyFont="1" applyFill="1" applyBorder="1" applyAlignment="1">
      <alignment horizontal="center" vertical="center"/>
    </xf>
    <xf numFmtId="0" fontId="8" fillId="11" borderId="1" xfId="0" applyFont="1" applyFill="1" applyBorder="1" applyAlignment="1">
      <alignment horizontal="center" vertical="center"/>
    </xf>
    <xf numFmtId="0" fontId="9" fillId="13" borderId="1" xfId="0" applyFont="1" applyFill="1" applyBorder="1" applyAlignment="1">
      <alignment horizontal="left" vertical="center"/>
    </xf>
    <xf numFmtId="0" fontId="6" fillId="13" borderId="1" xfId="0" applyFont="1" applyFill="1" applyBorder="1" applyAlignment="1">
      <alignment horizontal="center" vertical="center"/>
    </xf>
    <xf numFmtId="0" fontId="10" fillId="13" borderId="1" xfId="0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left" vertical="center"/>
    </xf>
    <xf numFmtId="0" fontId="10" fillId="5" borderId="1" xfId="0" applyFont="1" applyFill="1" applyBorder="1" applyAlignment="1">
      <alignment horizontal="center" vertical="center"/>
    </xf>
    <xf numFmtId="0" fontId="9" fillId="14" borderId="1" xfId="0" applyFont="1" applyFill="1" applyBorder="1" applyAlignment="1">
      <alignment horizontal="left" vertical="center"/>
    </xf>
    <xf numFmtId="0" fontId="6" fillId="14" borderId="1" xfId="0" applyFont="1" applyFill="1" applyBorder="1" applyAlignment="1">
      <alignment horizontal="center" vertical="center"/>
    </xf>
    <xf numFmtId="0" fontId="7" fillId="14" borderId="1" xfId="0" applyFont="1" applyFill="1" applyBorder="1" applyAlignment="1">
      <alignment horizontal="center" vertical="center"/>
    </xf>
    <xf numFmtId="0" fontId="10" fillId="14" borderId="1" xfId="0" applyFont="1" applyFill="1" applyBorder="1" applyAlignment="1">
      <alignment horizontal="center" vertical="center"/>
    </xf>
    <xf numFmtId="0" fontId="14" fillId="14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6" fillId="10" borderId="1" xfId="0" applyFont="1" applyFill="1" applyBorder="1" applyAlignment="1">
      <alignment horizontal="left" vertical="center"/>
    </xf>
    <xf numFmtId="0" fontId="16" fillId="10" borderId="1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left" vertical="center"/>
    </xf>
    <xf numFmtId="0" fontId="6" fillId="8" borderId="1" xfId="0" applyFont="1" applyFill="1" applyBorder="1" applyAlignment="1">
      <alignment horizontal="left" vertical="center"/>
    </xf>
    <xf numFmtId="0" fontId="6" fillId="6" borderId="1" xfId="0" applyFont="1" applyFill="1" applyBorder="1" applyAlignment="1">
      <alignment horizontal="left" vertical="center"/>
    </xf>
    <xf numFmtId="0" fontId="5" fillId="3" borderId="1" xfId="0" applyFont="1" applyFill="1" applyBorder="1" applyAlignment="1">
      <alignment horizontal="center" vertical="center"/>
    </xf>
    <xf numFmtId="0" fontId="9" fillId="10" borderId="1" xfId="0" applyFont="1" applyFill="1" applyBorder="1"/>
    <xf numFmtId="0" fontId="9" fillId="0" borderId="1" xfId="0" applyFont="1" applyBorder="1"/>
    <xf numFmtId="0" fontId="7" fillId="15" borderId="1" xfId="0" applyFont="1" applyFill="1" applyBorder="1" applyAlignment="1">
      <alignment horizontal="center" vertical="center"/>
    </xf>
    <xf numFmtId="0" fontId="6" fillId="15" borderId="1" xfId="0" applyFont="1" applyFill="1" applyBorder="1" applyAlignment="1">
      <alignment horizontal="center" vertical="center"/>
    </xf>
    <xf numFmtId="0" fontId="11" fillId="12" borderId="1" xfId="0" applyFont="1" applyFill="1" applyBorder="1" applyAlignment="1">
      <alignment horizontal="center" vertical="center"/>
    </xf>
    <xf numFmtId="0" fontId="9" fillId="12" borderId="1" xfId="0" applyFont="1" applyFill="1" applyBorder="1" applyAlignment="1">
      <alignment horizontal="center" vertical="center"/>
    </xf>
    <xf numFmtId="0" fontId="7" fillId="16" borderId="1" xfId="0" applyFont="1" applyFill="1" applyBorder="1" applyAlignment="1">
      <alignment horizontal="center" vertical="center"/>
    </xf>
    <xf numFmtId="0" fontId="6" fillId="16" borderId="1" xfId="0" applyFont="1" applyFill="1" applyBorder="1" applyAlignment="1">
      <alignment horizontal="center" vertical="center"/>
    </xf>
    <xf numFmtId="0" fontId="19" fillId="5" borderId="1" xfId="0" applyFont="1" applyFill="1" applyBorder="1" applyAlignment="1">
      <alignment horizontal="left" vertical="center"/>
    </xf>
    <xf numFmtId="0" fontId="19" fillId="0" borderId="1" xfId="0" applyFont="1" applyBorder="1" applyAlignment="1">
      <alignment horizontal="left" vertical="center"/>
    </xf>
    <xf numFmtId="0" fontId="20" fillId="0" borderId="0" xfId="0" applyFont="1"/>
    <xf numFmtId="0" fontId="21" fillId="4" borderId="1" xfId="0" applyFont="1" applyFill="1" applyBorder="1" applyAlignment="1">
      <alignment horizontal="center" vertical="center"/>
    </xf>
    <xf numFmtId="0" fontId="21" fillId="8" borderId="1" xfId="0" applyFont="1" applyFill="1" applyBorder="1" applyAlignment="1">
      <alignment horizontal="center" vertical="center"/>
    </xf>
    <xf numFmtId="0" fontId="21" fillId="6" borderId="1" xfId="0" applyFont="1" applyFill="1" applyBorder="1" applyAlignment="1">
      <alignment horizontal="center" vertical="center"/>
    </xf>
    <xf numFmtId="0" fontId="17" fillId="4" borderId="1" xfId="0" applyFont="1" applyFill="1" applyBorder="1" applyAlignment="1">
      <alignment horizontal="left" vertical="center"/>
    </xf>
    <xf numFmtId="0" fontId="2" fillId="8" borderId="1" xfId="0" applyFont="1" applyFill="1" applyBorder="1" applyAlignment="1">
      <alignment horizontal="left" vertical="center"/>
    </xf>
    <xf numFmtId="0" fontId="2" fillId="6" borderId="1" xfId="0" applyFont="1" applyFill="1" applyBorder="1" applyAlignment="1">
      <alignment horizontal="left" vertical="center"/>
    </xf>
    <xf numFmtId="0" fontId="0" fillId="0" borderId="0" xfId="0" applyAlignment="1">
      <alignment wrapText="1"/>
    </xf>
    <xf numFmtId="9" fontId="9" fillId="4" borderId="1" xfId="0" applyNumberFormat="1" applyFont="1" applyFill="1" applyBorder="1" applyAlignment="1">
      <alignment horizontal="center" vertical="center" wrapText="1"/>
    </xf>
    <xf numFmtId="9" fontId="9" fillId="8" borderId="1" xfId="0" applyNumberFormat="1" applyFont="1" applyFill="1" applyBorder="1" applyAlignment="1">
      <alignment horizontal="center" vertical="center" wrapText="1"/>
    </xf>
    <xf numFmtId="9" fontId="9" fillId="6" borderId="1" xfId="0" applyNumberFormat="1" applyFont="1" applyFill="1" applyBorder="1" applyAlignment="1">
      <alignment horizontal="center" vertical="center" wrapText="1"/>
    </xf>
    <xf numFmtId="9" fontId="8" fillId="4" borderId="1" xfId="0" applyNumberFormat="1" applyFont="1" applyFill="1" applyBorder="1" applyAlignment="1">
      <alignment horizontal="center" vertical="center" wrapText="1"/>
    </xf>
    <xf numFmtId="9" fontId="14" fillId="8" borderId="1" xfId="0" applyNumberFormat="1" applyFont="1" applyFill="1" applyBorder="1" applyAlignment="1">
      <alignment horizontal="center" vertical="center" wrapText="1"/>
    </xf>
    <xf numFmtId="9" fontId="10" fillId="6" borderId="1" xfId="0" applyNumberFormat="1" applyFont="1" applyFill="1" applyBorder="1" applyAlignment="1">
      <alignment horizontal="center" vertical="center" wrapText="1"/>
    </xf>
    <xf numFmtId="0" fontId="0" fillId="0" borderId="0" xfId="0"/>
    <xf numFmtId="0" fontId="5" fillId="3" borderId="0" xfId="0" applyFont="1" applyFill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5" fillId="9" borderId="0" xfId="0" applyFont="1" applyFill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5" fillId="7" borderId="0" xfId="0" applyFont="1" applyFill="1" applyAlignment="1">
      <alignment horizontal="left" vertical="center"/>
    </xf>
    <xf numFmtId="0" fontId="13" fillId="0" borderId="0" xfId="0" applyFont="1" applyAlignment="1">
      <alignment horizontal="center" vertical="center"/>
    </xf>
    <xf numFmtId="0" fontId="12" fillId="2" borderId="0" xfId="0" applyFont="1" applyFill="1" applyAlignment="1">
      <alignment horizontal="center" vertical="center"/>
    </xf>
    <xf numFmtId="0" fontId="0" fillId="0" borderId="0" xfId="0" applyAlignment="1">
      <alignment wrapText="1"/>
    </xf>
    <xf numFmtId="0" fontId="15" fillId="3" borderId="0" xfId="0" applyFont="1" applyFill="1" applyAlignment="1">
      <alignment horizontal="left" vertical="center"/>
    </xf>
    <xf numFmtId="0" fontId="18" fillId="17" borderId="0" xfId="0" applyFont="1" applyFill="1" applyAlignment="1">
      <alignment horizontal="left" vertical="center" wrapText="1"/>
    </xf>
    <xf numFmtId="0" fontId="2" fillId="13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14" borderId="1" xfId="0" applyFont="1" applyFill="1" applyBorder="1" applyAlignment="1">
      <alignment horizontal="center" vertical="center"/>
    </xf>
    <xf numFmtId="0" fontId="2" fillId="15" borderId="1" xfId="0" applyFont="1" applyFill="1" applyBorder="1" applyAlignment="1">
      <alignment horizontal="center" vertical="center"/>
    </xf>
    <xf numFmtId="0" fontId="21" fillId="12" borderId="1" xfId="0" applyFont="1" applyFill="1" applyBorder="1" applyAlignment="1">
      <alignment horizontal="center" vertical="center"/>
    </xf>
    <xf numFmtId="0" fontId="2" fillId="16" borderId="1" xfId="0" applyFont="1" applyFill="1" applyBorder="1" applyAlignment="1">
      <alignment horizontal="center" vertical="center"/>
    </xf>
    <xf numFmtId="0" fontId="22" fillId="5" borderId="1" xfId="0" applyFont="1" applyFill="1" applyBorder="1" applyAlignment="1">
      <alignment horizontal="left" vertical="center"/>
    </xf>
    <xf numFmtId="0" fontId="22" fillId="0" borderId="1" xfId="0" applyFont="1" applyBorder="1" applyAlignment="1">
      <alignment horizontal="left" vertical="center"/>
    </xf>
    <xf numFmtId="0" fontId="22" fillId="10" borderId="1" xfId="0" applyFont="1" applyFill="1" applyBorder="1" applyAlignment="1">
      <alignment horizontal="left" vertical="center"/>
    </xf>
    <xf numFmtId="0" fontId="23" fillId="10" borderId="1" xfId="0" applyFont="1" applyFill="1" applyBorder="1" applyAlignment="1">
      <alignment horizontal="left" vertical="center"/>
    </xf>
    <xf numFmtId="0" fontId="23" fillId="0" borderId="1" xfId="0" applyFont="1" applyBorder="1" applyAlignment="1">
      <alignment horizontal="left" vertical="center"/>
    </xf>
    <xf numFmtId="0" fontId="24" fillId="18" borderId="0" xfId="0" applyFont="1" applyFill="1" applyAlignment="1">
      <alignment horizontal="left" vertical="center"/>
    </xf>
    <xf numFmtId="0" fontId="25" fillId="19" borderId="0" xfId="0" applyFont="1" applyFill="1"/>
    <xf numFmtId="0" fontId="25" fillId="19" borderId="0" xfId="0" applyFont="1" applyFill="1" applyAlignment="1">
      <alignment wrapText="1"/>
    </xf>
    <xf numFmtId="0" fontId="0" fillId="19" borderId="0" xfId="0" applyFill="1"/>
    <xf numFmtId="0" fontId="27" fillId="20" borderId="0" xfId="0" applyFont="1" applyFill="1" applyAlignment="1">
      <alignment horizontal="center" vertical="center"/>
    </xf>
    <xf numFmtId="0" fontId="24" fillId="20" borderId="2" xfId="0" applyFont="1" applyFill="1" applyBorder="1" applyAlignment="1">
      <alignment horizontal="left" vertical="center"/>
    </xf>
    <xf numFmtId="0" fontId="0" fillId="19" borderId="2" xfId="0" applyFill="1" applyBorder="1"/>
    <xf numFmtId="0" fontId="26" fillId="20" borderId="0" xfId="0" applyFont="1" applyFill="1" applyAlignment="1">
      <alignment horizontal="center" vertical="center"/>
    </xf>
    <xf numFmtId="0" fontId="28" fillId="19" borderId="0" xfId="0" applyFont="1" applyFill="1"/>
    <xf numFmtId="0" fontId="28" fillId="19" borderId="0" xfId="0" applyFont="1" applyFill="1" applyAlignment="1">
      <alignment wrapText="1"/>
    </xf>
    <xf numFmtId="0" fontId="2" fillId="0" borderId="1" xfId="0" applyFont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30" fillId="20" borderId="0" xfId="0" applyFont="1" applyFill="1" applyAlignment="1">
      <alignment horizontal="center" vertical="center"/>
    </xf>
    <xf numFmtId="0" fontId="31" fillId="12" borderId="0" xfId="0" applyFont="1" applyFill="1" applyAlignment="1">
      <alignment horizontal="left" vertical="center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3CD"/>
      <rgbColor rgb="FFFF00FF"/>
      <rgbColor rgb="FF00FFFF"/>
      <rgbColor rgb="FF800000"/>
      <rgbColor rgb="FF1A8040"/>
      <rgbColor rgb="FF000080"/>
      <rgbColor rgb="FF808000"/>
      <rgbColor rgb="FF800080"/>
      <rgbColor rgb="FF0A6B50"/>
      <rgbColor rgb="FFC0C0C0"/>
      <rgbColor rgb="FF878787"/>
      <rgbColor rgb="FFEBF4FF"/>
      <rgbColor rgb="FFBE4B48"/>
      <rgbColor rgb="FFFFFDE7"/>
      <rgbColor rgb="FFD6F5E8"/>
      <rgbColor rgb="FF660066"/>
      <rgbColor rgb="FFFF8080"/>
      <rgbColor rgb="FF1A5FA8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4FD"/>
      <rgbColor rgb="FFC6EFCE"/>
      <rgbColor rgb="FFFFEB9C"/>
      <rgbColor rgb="FFD6E4F7"/>
      <rgbColor rgb="FFFFDBD9"/>
      <rgbColor rgb="FFF2F2F2"/>
      <rgbColor rgb="FFFFC7CE"/>
      <rgbColor rgb="FF4A7EBB"/>
      <rgbColor rgb="FF33CCCC"/>
      <rgbColor rgb="FF99CC00"/>
      <rgbColor rgb="FFFFCC00"/>
      <rgbColor rgb="FFFF9900"/>
      <rgbColor rgb="FFD07000"/>
      <rgbColor rgb="FF777777"/>
      <rgbColor rgb="FF888888"/>
      <rgbColor rgb="FF1A3C5E"/>
      <rgbColor rgb="FF2D7D46"/>
      <rgbColor rgb="FF003300"/>
      <rgbColor rgb="FF333300"/>
      <rgbColor rgb="FFC0392B"/>
      <rgbColor rgb="FF595959"/>
      <rgbColor rgb="FF555555"/>
      <rgbColor rgb="FF2C3E5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Global Supply vs Demand (mb/d)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'Quarterly Balance &amp; Price'!$K$4</c:f>
              <c:strCache>
                <c:ptCount val="1"/>
                <c:pt idx="0">
                  <c:v>Supply</c:v>
                </c:pt>
              </c:strCache>
            </c:strRef>
          </c:tx>
          <c:spPr>
            <a:ln w="47520">
              <a:solidFill>
                <a:srgbClr val="4A7EBB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'Quarterly Balance &amp; Price'!$J$5:$J$11</c:f>
              <c:strCache>
                <c:ptCount val="7"/>
                <c:pt idx="0">
                  <c:v>Q1 2024</c:v>
                </c:pt>
                <c:pt idx="1">
                  <c:v>Q2 2024</c:v>
                </c:pt>
                <c:pt idx="2">
                  <c:v>Q3 2024</c:v>
                </c:pt>
                <c:pt idx="3">
                  <c:v>Q4 2024</c:v>
                </c:pt>
                <c:pt idx="4">
                  <c:v>Q1F 2025</c:v>
                </c:pt>
                <c:pt idx="5">
                  <c:v>Q2F 2025</c:v>
                </c:pt>
                <c:pt idx="6">
                  <c:v>Q3F 2025</c:v>
                </c:pt>
              </c:strCache>
            </c:strRef>
          </c:cat>
          <c:val>
            <c:numRef>
              <c:f>'Quarterly Balance &amp; Price'!$K$5:$K$11</c:f>
              <c:numCache>
                <c:formatCode>General</c:formatCode>
                <c:ptCount val="7"/>
                <c:pt idx="0">
                  <c:v>100.8</c:v>
                </c:pt>
                <c:pt idx="1">
                  <c:v>102.4</c:v>
                </c:pt>
                <c:pt idx="2">
                  <c:v>101.6</c:v>
                </c:pt>
                <c:pt idx="3">
                  <c:v>101</c:v>
                </c:pt>
                <c:pt idx="4">
                  <c:v>102.8</c:v>
                </c:pt>
                <c:pt idx="5">
                  <c:v>103.6</c:v>
                </c:pt>
                <c:pt idx="6">
                  <c:v>102.2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2F20-483C-AB82-10EC2F59DD85}"/>
            </c:ext>
          </c:extLst>
        </c:ser>
        <c:ser>
          <c:idx val="1"/>
          <c:order val="1"/>
          <c:tx>
            <c:strRef>
              <c:f>'Quarterly Balance &amp; Price'!$L$4</c:f>
              <c:strCache>
                <c:ptCount val="1"/>
                <c:pt idx="0">
                  <c:v>Demand</c:v>
                </c:pt>
              </c:strCache>
            </c:strRef>
          </c:tx>
          <c:spPr>
            <a:ln w="47520">
              <a:solidFill>
                <a:srgbClr val="BE4B48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'Quarterly Balance &amp; Price'!$J$5:$J$11</c:f>
              <c:strCache>
                <c:ptCount val="7"/>
                <c:pt idx="0">
                  <c:v>Q1 2024</c:v>
                </c:pt>
                <c:pt idx="1">
                  <c:v>Q2 2024</c:v>
                </c:pt>
                <c:pt idx="2">
                  <c:v>Q3 2024</c:v>
                </c:pt>
                <c:pt idx="3">
                  <c:v>Q4 2024</c:v>
                </c:pt>
                <c:pt idx="4">
                  <c:v>Q1F 2025</c:v>
                </c:pt>
                <c:pt idx="5">
                  <c:v>Q2F 2025</c:v>
                </c:pt>
                <c:pt idx="6">
                  <c:v>Q3F 2025</c:v>
                </c:pt>
              </c:strCache>
            </c:strRef>
          </c:cat>
          <c:val>
            <c:numRef>
              <c:f>'Quarterly Balance &amp; Price'!$L$5:$L$11</c:f>
              <c:numCache>
                <c:formatCode>General</c:formatCode>
                <c:ptCount val="7"/>
                <c:pt idx="0">
                  <c:v>101.2</c:v>
                </c:pt>
                <c:pt idx="1">
                  <c:v>102.8</c:v>
                </c:pt>
                <c:pt idx="2">
                  <c:v>103</c:v>
                </c:pt>
                <c:pt idx="3">
                  <c:v>103.4</c:v>
                </c:pt>
                <c:pt idx="4">
                  <c:v>103.5</c:v>
                </c:pt>
                <c:pt idx="5">
                  <c:v>103.9</c:v>
                </c:pt>
                <c:pt idx="6">
                  <c:v>104.4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2F20-483C-AB82-10EC2F59DD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  <a:prstDash val="solid"/>
            </a:ln>
          </c:spPr>
        </c:hiLowLines>
        <c:smooth val="0"/>
        <c:axId val="75673853"/>
        <c:axId val="11160405"/>
      </c:lineChart>
      <c:catAx>
        <c:axId val="7567385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Quarter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1160405"/>
        <c:crosses val="autoZero"/>
        <c:auto val="1"/>
        <c:lblAlgn val="ctr"/>
        <c:lblOffset val="100"/>
        <c:noMultiLvlLbl val="0"/>
      </c:catAx>
      <c:valAx>
        <c:axId val="1116040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prstDash val="solid"/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mb/d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5673853"/>
        <c:crosses val="autoZero"/>
        <c:crossBetween val="between"/>
      </c:valAx>
    </c:plotArea>
    <c:legend>
      <c:legendPos val="r"/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13</xdr:row>
      <xdr:rowOff>0</xdr:rowOff>
    </xdr:from>
    <xdr:to>
      <xdr:col>8</xdr:col>
      <xdr:colOff>181080</xdr:colOff>
      <xdr:row>39</xdr:row>
      <xdr:rowOff>86400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5"/>
  <sheetViews>
    <sheetView showGridLines="0" topLeftCell="A7" zoomScaleNormal="100" workbookViewId="0">
      <selection activeCell="F29" sqref="F29"/>
    </sheetView>
  </sheetViews>
  <sheetFormatPr defaultColWidth="8.6640625" defaultRowHeight="14.4" x14ac:dyDescent="0.3"/>
  <cols>
    <col min="1" max="1" width="22" customWidth="1"/>
    <col min="2" max="2" width="13" customWidth="1"/>
    <col min="3" max="3" width="18" customWidth="1"/>
    <col min="4" max="4" width="20" customWidth="1"/>
    <col min="5" max="6" width="16" customWidth="1"/>
    <col min="7" max="7" width="20" customWidth="1"/>
    <col min="8" max="9" width="18" customWidth="1"/>
    <col min="10" max="10" width="17" customWidth="1"/>
  </cols>
  <sheetData>
    <row r="1" spans="1:10" ht="31.5" customHeight="1" x14ac:dyDescent="0.3">
      <c r="A1" s="98" t="s">
        <v>0</v>
      </c>
      <c r="B1" s="88"/>
      <c r="C1" s="88"/>
      <c r="D1" s="88"/>
      <c r="E1" s="88"/>
      <c r="F1" s="88"/>
      <c r="G1" s="88"/>
      <c r="H1" s="88"/>
      <c r="I1" s="88"/>
      <c r="J1" s="88"/>
    </row>
    <row r="2" spans="1:10" ht="15.75" customHeight="1" x14ac:dyDescent="0.3">
      <c r="A2" s="67" t="s">
        <v>1</v>
      </c>
      <c r="B2" s="63"/>
      <c r="C2" s="63"/>
      <c r="D2" s="63"/>
      <c r="E2" s="63"/>
      <c r="F2" s="63"/>
      <c r="G2" s="63"/>
      <c r="H2" s="63"/>
      <c r="I2" s="63"/>
      <c r="J2" s="63"/>
    </row>
    <row r="3" spans="1:10" ht="13.5" customHeight="1" x14ac:dyDescent="0.3">
      <c r="A3" s="65" t="s">
        <v>2</v>
      </c>
      <c r="B3" s="63"/>
      <c r="C3" s="63"/>
      <c r="D3" s="63"/>
      <c r="E3" s="63"/>
      <c r="F3" s="63"/>
      <c r="G3" s="63"/>
      <c r="H3" s="63"/>
      <c r="I3" s="63"/>
      <c r="J3" s="63"/>
    </row>
    <row r="5" spans="1:10" ht="37.5" customHeight="1" x14ac:dyDescent="0.3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" t="s">
        <v>10</v>
      </c>
      <c r="I5" s="1" t="s">
        <v>11</v>
      </c>
      <c r="J5" s="1" t="s">
        <v>12</v>
      </c>
    </row>
    <row r="6" spans="1:10" ht="18" customHeight="1" x14ac:dyDescent="0.3">
      <c r="A6" s="64" t="s">
        <v>13</v>
      </c>
      <c r="B6" s="63"/>
      <c r="C6" s="63"/>
      <c r="D6" s="63"/>
      <c r="E6" s="63"/>
      <c r="F6" s="63"/>
      <c r="G6" s="63"/>
      <c r="H6" s="63"/>
      <c r="I6" s="63"/>
      <c r="J6" s="63"/>
    </row>
    <row r="7" spans="1:10" ht="18" customHeight="1" x14ac:dyDescent="0.3">
      <c r="A7" s="2" t="s">
        <v>14</v>
      </c>
      <c r="B7" s="3" t="s">
        <v>15</v>
      </c>
      <c r="C7" s="4">
        <v>10.84</v>
      </c>
      <c r="D7" s="4">
        <v>3.34</v>
      </c>
      <c r="E7" s="4">
        <v>0</v>
      </c>
      <c r="F7" s="4">
        <v>7.45</v>
      </c>
      <c r="G7" s="5" t="s">
        <v>16</v>
      </c>
      <c r="H7" s="6" t="s">
        <v>17</v>
      </c>
      <c r="I7" s="3">
        <v>9</v>
      </c>
      <c r="J7" s="3">
        <v>1.84</v>
      </c>
    </row>
    <row r="8" spans="1:10" ht="18" customHeight="1" x14ac:dyDescent="0.3">
      <c r="A8" s="7" t="s">
        <v>18</v>
      </c>
      <c r="B8" s="8" t="s">
        <v>15</v>
      </c>
      <c r="C8" s="9">
        <v>4.25</v>
      </c>
      <c r="D8" s="9">
        <v>0.79</v>
      </c>
      <c r="E8" s="9">
        <v>0</v>
      </c>
      <c r="F8" s="9">
        <v>3.43</v>
      </c>
      <c r="G8" s="5" t="s">
        <v>19</v>
      </c>
      <c r="H8" s="6" t="s">
        <v>17</v>
      </c>
      <c r="I8" s="8">
        <v>4</v>
      </c>
      <c r="J8" s="8">
        <v>0.25</v>
      </c>
    </row>
    <row r="9" spans="1:10" ht="18" customHeight="1" x14ac:dyDescent="0.3">
      <c r="A9" s="2" t="s">
        <v>20</v>
      </c>
      <c r="B9" s="3" t="s">
        <v>15</v>
      </c>
      <c r="C9" s="4">
        <v>4.08</v>
      </c>
      <c r="D9" s="4">
        <v>0.98</v>
      </c>
      <c r="E9" s="4">
        <v>0</v>
      </c>
      <c r="F9" s="4">
        <v>2.97</v>
      </c>
      <c r="G9" s="5" t="s">
        <v>21</v>
      </c>
      <c r="H9" s="6" t="s">
        <v>17</v>
      </c>
      <c r="I9" s="3">
        <v>3.22</v>
      </c>
      <c r="J9" s="3">
        <v>0.86</v>
      </c>
    </row>
    <row r="10" spans="1:10" ht="18" customHeight="1" x14ac:dyDescent="0.3">
      <c r="A10" s="7" t="s">
        <v>22</v>
      </c>
      <c r="B10" s="8" t="s">
        <v>15</v>
      </c>
      <c r="C10" s="9">
        <v>2.65</v>
      </c>
      <c r="D10" s="9">
        <v>0.48</v>
      </c>
      <c r="E10" s="9">
        <v>0</v>
      </c>
      <c r="F10" s="9">
        <v>2.17</v>
      </c>
      <c r="G10" s="5" t="s">
        <v>23</v>
      </c>
      <c r="H10" s="6" t="s">
        <v>17</v>
      </c>
      <c r="I10" s="8">
        <v>2.4700000000000002</v>
      </c>
      <c r="J10" s="8">
        <v>0.18</v>
      </c>
    </row>
    <row r="11" spans="1:10" ht="18" customHeight="1" x14ac:dyDescent="0.3">
      <c r="A11" s="2" t="s">
        <v>24</v>
      </c>
      <c r="B11" s="3" t="s">
        <v>15</v>
      </c>
      <c r="C11" s="4">
        <v>3.2</v>
      </c>
      <c r="D11" s="4">
        <v>1.85</v>
      </c>
      <c r="E11" s="4">
        <v>0</v>
      </c>
      <c r="F11" s="4">
        <v>1.1200000000000001</v>
      </c>
      <c r="G11" s="5" t="s">
        <v>25</v>
      </c>
      <c r="H11" s="10" t="s">
        <v>26</v>
      </c>
      <c r="I11" s="3" t="s">
        <v>27</v>
      </c>
      <c r="J11" s="3" t="s">
        <v>27</v>
      </c>
    </row>
    <row r="12" spans="1:10" ht="18" customHeight="1" x14ac:dyDescent="0.3">
      <c r="A12" s="7" t="s">
        <v>28</v>
      </c>
      <c r="B12" s="8" t="s">
        <v>15</v>
      </c>
      <c r="C12" s="9">
        <v>0.82</v>
      </c>
      <c r="D12" s="9">
        <v>0.51</v>
      </c>
      <c r="E12" s="9">
        <v>0.04</v>
      </c>
      <c r="F12" s="9">
        <v>0.32</v>
      </c>
      <c r="G12" s="5" t="s">
        <v>29</v>
      </c>
      <c r="H12" s="10" t="s">
        <v>26</v>
      </c>
      <c r="I12" s="8">
        <v>0.7</v>
      </c>
      <c r="J12" s="8">
        <v>0.12</v>
      </c>
    </row>
    <row r="13" spans="1:10" ht="15" customHeight="1" x14ac:dyDescent="0.3">
      <c r="A13" s="68" t="s">
        <v>30</v>
      </c>
      <c r="B13" s="63"/>
      <c r="C13" s="63"/>
      <c r="D13" s="63"/>
      <c r="E13" s="63"/>
      <c r="F13" s="63"/>
      <c r="G13" s="63"/>
      <c r="H13" s="63"/>
      <c r="I13" s="63"/>
      <c r="J13" s="63"/>
    </row>
    <row r="14" spans="1:10" ht="18" customHeight="1" x14ac:dyDescent="0.3">
      <c r="A14" s="7" t="s">
        <v>31</v>
      </c>
      <c r="B14" s="8" t="s">
        <v>32</v>
      </c>
      <c r="C14" s="9">
        <v>13.24</v>
      </c>
      <c r="D14" s="9">
        <v>20.100000000000001</v>
      </c>
      <c r="E14" s="9">
        <v>6.49</v>
      </c>
      <c r="F14" s="9">
        <v>3.9</v>
      </c>
      <c r="G14" s="11" t="s">
        <v>33</v>
      </c>
      <c r="H14" s="12" t="s">
        <v>34</v>
      </c>
      <c r="I14" s="8" t="s">
        <v>35</v>
      </c>
      <c r="J14" s="8" t="s">
        <v>35</v>
      </c>
    </row>
    <row r="15" spans="1:10" ht="18" customHeight="1" x14ac:dyDescent="0.3">
      <c r="A15" s="2" t="s">
        <v>36</v>
      </c>
      <c r="B15" s="3" t="s">
        <v>32</v>
      </c>
      <c r="C15" s="4">
        <v>9.7799999999999994</v>
      </c>
      <c r="D15" s="4">
        <v>3.85</v>
      </c>
      <c r="E15" s="4">
        <v>0</v>
      </c>
      <c r="F15" s="4">
        <v>5.76</v>
      </c>
      <c r="G15" s="5" t="s">
        <v>37</v>
      </c>
      <c r="H15" s="10" t="s">
        <v>26</v>
      </c>
      <c r="I15" s="3" t="s">
        <v>35</v>
      </c>
      <c r="J15" s="3" t="s">
        <v>35</v>
      </c>
    </row>
    <row r="16" spans="1:10" ht="18" customHeight="1" x14ac:dyDescent="0.3">
      <c r="A16" s="7" t="s">
        <v>38</v>
      </c>
      <c r="B16" s="8" t="s">
        <v>32</v>
      </c>
      <c r="C16" s="9">
        <v>5.61</v>
      </c>
      <c r="D16" s="9">
        <v>2.2999999999999998</v>
      </c>
      <c r="E16" s="9">
        <v>0.57999999999999996</v>
      </c>
      <c r="F16" s="9">
        <v>3.82</v>
      </c>
      <c r="G16" s="5" t="s">
        <v>39</v>
      </c>
      <c r="H16" s="6" t="s">
        <v>17</v>
      </c>
      <c r="I16" s="8" t="s">
        <v>35</v>
      </c>
      <c r="J16" s="8" t="s">
        <v>35</v>
      </c>
    </row>
    <row r="17" spans="1:10" ht="18" customHeight="1" x14ac:dyDescent="0.3">
      <c r="A17" s="2" t="s">
        <v>40</v>
      </c>
      <c r="B17" s="3" t="s">
        <v>32</v>
      </c>
      <c r="C17" s="4">
        <v>4.0999999999999996</v>
      </c>
      <c r="D17" s="4">
        <v>16.2</v>
      </c>
      <c r="E17" s="4">
        <v>10.199999999999999</v>
      </c>
      <c r="F17" s="4">
        <v>0.82</v>
      </c>
      <c r="G17" s="11" t="s">
        <v>41</v>
      </c>
      <c r="H17" s="10" t="s">
        <v>26</v>
      </c>
      <c r="I17" s="3" t="s">
        <v>35</v>
      </c>
      <c r="J17" s="3" t="s">
        <v>35</v>
      </c>
    </row>
    <row r="18" spans="1:10" ht="18" customHeight="1" x14ac:dyDescent="0.3">
      <c r="A18" s="7" t="s">
        <v>42</v>
      </c>
      <c r="B18" s="8" t="s">
        <v>32</v>
      </c>
      <c r="C18" s="9">
        <v>1.97</v>
      </c>
      <c r="D18" s="9">
        <v>0.24</v>
      </c>
      <c r="E18" s="9">
        <v>0.01</v>
      </c>
      <c r="F18" s="9">
        <v>1.73</v>
      </c>
      <c r="G18" s="5" t="s">
        <v>43</v>
      </c>
      <c r="H18" s="6" t="s">
        <v>17</v>
      </c>
      <c r="I18" s="8" t="s">
        <v>35</v>
      </c>
      <c r="J18" s="8" t="s">
        <v>35</v>
      </c>
    </row>
    <row r="19" spans="1:10" ht="18" customHeight="1" x14ac:dyDescent="0.3">
      <c r="A19" s="2" t="s">
        <v>44</v>
      </c>
      <c r="B19" s="3" t="s">
        <v>32</v>
      </c>
      <c r="C19" s="4">
        <v>0.75</v>
      </c>
      <c r="D19" s="4">
        <v>5.43</v>
      </c>
      <c r="E19" s="4">
        <v>4.68</v>
      </c>
      <c r="F19" s="4">
        <v>7.0000000000000007E-2</v>
      </c>
      <c r="G19" s="11" t="s">
        <v>45</v>
      </c>
      <c r="H19" s="12" t="s">
        <v>34</v>
      </c>
      <c r="I19" s="3" t="s">
        <v>35</v>
      </c>
      <c r="J19" s="3" t="s">
        <v>35</v>
      </c>
    </row>
    <row r="20" spans="1:10" ht="15" customHeight="1" x14ac:dyDescent="0.3">
      <c r="A20" s="66" t="s">
        <v>46</v>
      </c>
      <c r="B20" s="63"/>
      <c r="C20" s="63"/>
      <c r="D20" s="63"/>
      <c r="E20" s="63"/>
      <c r="F20" s="63"/>
      <c r="G20" s="63"/>
      <c r="H20" s="63"/>
      <c r="I20" s="63"/>
      <c r="J20" s="63"/>
    </row>
    <row r="21" spans="1:10" ht="19.5" customHeight="1" x14ac:dyDescent="0.3">
      <c r="A21" s="13" t="s">
        <v>47</v>
      </c>
      <c r="B21" s="14" t="s">
        <v>48</v>
      </c>
      <c r="C21" s="14">
        <v>25.84</v>
      </c>
      <c r="D21" s="14">
        <v>7.95</v>
      </c>
      <c r="E21" s="14">
        <v>0.04</v>
      </c>
      <c r="F21" s="14">
        <v>17.46</v>
      </c>
      <c r="G21" s="15" t="s">
        <v>49</v>
      </c>
      <c r="H21" s="14" t="s">
        <v>50</v>
      </c>
      <c r="I21" s="14"/>
      <c r="J21" s="14"/>
    </row>
    <row r="22" spans="1:10" ht="19.5" customHeight="1" x14ac:dyDescent="0.3">
      <c r="A22" s="13" t="s">
        <v>51</v>
      </c>
      <c r="B22" s="14" t="s">
        <v>48</v>
      </c>
      <c r="C22" s="14">
        <v>35.450000000000003</v>
      </c>
      <c r="D22" s="14">
        <v>48.12</v>
      </c>
      <c r="E22" s="14">
        <v>21.96</v>
      </c>
      <c r="F22" s="14">
        <v>16.100000000000001</v>
      </c>
      <c r="G22" s="16" t="s">
        <v>52</v>
      </c>
      <c r="H22" s="14" t="s">
        <v>53</v>
      </c>
      <c r="I22" s="14"/>
      <c r="J22" s="14"/>
    </row>
    <row r="23" spans="1:10" ht="19.5" customHeight="1" x14ac:dyDescent="0.3">
      <c r="A23" s="17" t="s">
        <v>54</v>
      </c>
      <c r="B23" s="18" t="s">
        <v>55</v>
      </c>
      <c r="C23" s="18">
        <v>61.29</v>
      </c>
      <c r="D23" s="18">
        <v>56.07</v>
      </c>
      <c r="E23" s="18">
        <v>22</v>
      </c>
      <c r="F23" s="18">
        <v>33.56</v>
      </c>
      <c r="G23" s="19" t="s">
        <v>56</v>
      </c>
      <c r="H23" s="18" t="s">
        <v>57</v>
      </c>
      <c r="I23" s="18"/>
      <c r="J23" s="18"/>
    </row>
    <row r="25" spans="1:10" ht="21.75" customHeight="1" x14ac:dyDescent="0.3">
      <c r="A25" s="99" t="s">
        <v>58</v>
      </c>
      <c r="B25" s="100"/>
      <c r="C25" s="100"/>
      <c r="D25" s="100"/>
      <c r="E25" s="100"/>
      <c r="F25" s="100"/>
      <c r="G25" s="100"/>
      <c r="H25" s="100"/>
      <c r="I25" s="100"/>
      <c r="J25" s="100"/>
    </row>
  </sheetData>
  <mergeCells count="7">
    <mergeCell ref="A25:J25"/>
    <mergeCell ref="A13:J13"/>
    <mergeCell ref="A1:J1"/>
    <mergeCell ref="A6:J6"/>
    <mergeCell ref="A3:J3"/>
    <mergeCell ref="A20:J20"/>
    <mergeCell ref="A2:J2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1"/>
  <sheetViews>
    <sheetView showGridLines="0" zoomScaleNormal="100" workbookViewId="0">
      <selection activeCell="J4" sqref="J4"/>
    </sheetView>
  </sheetViews>
  <sheetFormatPr defaultColWidth="8.6640625" defaultRowHeight="14.4" x14ac:dyDescent="0.3"/>
  <cols>
    <col min="1" max="1" width="14" customWidth="1"/>
    <col min="2" max="2" width="10" customWidth="1"/>
    <col min="3" max="4" width="21" customWidth="1"/>
    <col min="5" max="5" width="19" customWidth="1"/>
    <col min="6" max="6" width="22" customWidth="1"/>
    <col min="7" max="7" width="30" customWidth="1"/>
    <col min="8" max="8" width="14" customWidth="1"/>
    <col min="9" max="9" width="8" customWidth="1"/>
    <col min="10" max="10" width="10" customWidth="1"/>
    <col min="11" max="12" width="8" customWidth="1"/>
    <col min="13" max="13" width="13" customWidth="1"/>
  </cols>
  <sheetData>
    <row r="1" spans="1:13" ht="27.75" customHeight="1" x14ac:dyDescent="0.3">
      <c r="A1" s="92" t="s">
        <v>59</v>
      </c>
      <c r="B1" s="88"/>
      <c r="C1" s="88"/>
      <c r="D1" s="88"/>
      <c r="E1" s="88"/>
      <c r="F1" s="88"/>
      <c r="G1" s="88"/>
      <c r="H1" s="88"/>
    </row>
    <row r="2" spans="1:13" ht="15" customHeight="1" x14ac:dyDescent="0.3">
      <c r="A2" s="97" t="s">
        <v>60</v>
      </c>
      <c r="B2" s="63"/>
      <c r="C2" s="63"/>
      <c r="D2" s="63"/>
      <c r="E2" s="63"/>
      <c r="F2" s="63"/>
      <c r="G2" s="63"/>
      <c r="H2" s="63"/>
    </row>
    <row r="4" spans="1:13" ht="36" customHeight="1" x14ac:dyDescent="0.3">
      <c r="A4" s="1" t="s">
        <v>61</v>
      </c>
      <c r="B4" s="1" t="s">
        <v>62</v>
      </c>
      <c r="C4" s="1" t="s">
        <v>63</v>
      </c>
      <c r="D4" s="1" t="s">
        <v>64</v>
      </c>
      <c r="E4" s="1" t="s">
        <v>9</v>
      </c>
      <c r="F4" s="1" t="s">
        <v>65</v>
      </c>
      <c r="G4" s="1" t="s">
        <v>66</v>
      </c>
      <c r="H4" s="1" t="s">
        <v>67</v>
      </c>
      <c r="J4" t="s">
        <v>61</v>
      </c>
      <c r="K4" t="s">
        <v>68</v>
      </c>
      <c r="L4" t="s">
        <v>69</v>
      </c>
      <c r="M4" t="s">
        <v>70</v>
      </c>
    </row>
    <row r="5" spans="1:13" ht="18" customHeight="1" x14ac:dyDescent="0.3">
      <c r="A5" s="20" t="s">
        <v>71</v>
      </c>
      <c r="B5" s="21" t="s">
        <v>72</v>
      </c>
      <c r="C5" s="74">
        <v>100.8</v>
      </c>
      <c r="D5" s="74">
        <v>101.2</v>
      </c>
      <c r="E5" s="74">
        <v>-0.4</v>
      </c>
      <c r="F5" s="74">
        <v>81</v>
      </c>
      <c r="G5" s="21" t="s">
        <v>73</v>
      </c>
      <c r="H5" s="22" t="s">
        <v>74</v>
      </c>
      <c r="J5" t="s">
        <v>71</v>
      </c>
      <c r="K5">
        <v>100.8</v>
      </c>
      <c r="L5">
        <v>101.2</v>
      </c>
      <c r="M5">
        <v>81</v>
      </c>
    </row>
    <row r="6" spans="1:13" ht="18" customHeight="1" x14ac:dyDescent="0.3">
      <c r="A6" s="23" t="s">
        <v>75</v>
      </c>
      <c r="B6" s="8" t="s">
        <v>72</v>
      </c>
      <c r="C6" s="75">
        <v>102.4</v>
      </c>
      <c r="D6" s="75">
        <v>102.8</v>
      </c>
      <c r="E6" s="75">
        <v>-0.4</v>
      </c>
      <c r="F6" s="75">
        <v>85</v>
      </c>
      <c r="G6" s="8" t="s">
        <v>76</v>
      </c>
      <c r="H6" s="24" t="s">
        <v>74</v>
      </c>
      <c r="J6" t="s">
        <v>75</v>
      </c>
      <c r="K6">
        <v>102.4</v>
      </c>
      <c r="L6">
        <v>102.8</v>
      </c>
      <c r="M6">
        <v>85</v>
      </c>
    </row>
    <row r="7" spans="1:13" ht="18" customHeight="1" x14ac:dyDescent="0.3">
      <c r="A7" s="20" t="s">
        <v>77</v>
      </c>
      <c r="B7" s="21" t="s">
        <v>72</v>
      </c>
      <c r="C7" s="74">
        <v>101.6</v>
      </c>
      <c r="D7" s="74">
        <v>103</v>
      </c>
      <c r="E7" s="74">
        <v>-1.4</v>
      </c>
      <c r="F7" s="74">
        <v>87</v>
      </c>
      <c r="G7" s="21" t="s">
        <v>78</v>
      </c>
      <c r="H7" s="22" t="s">
        <v>79</v>
      </c>
      <c r="J7" t="s">
        <v>77</v>
      </c>
      <c r="K7">
        <v>101.6</v>
      </c>
      <c r="L7">
        <v>103</v>
      </c>
      <c r="M7">
        <v>87</v>
      </c>
    </row>
    <row r="8" spans="1:13" ht="18" customHeight="1" x14ac:dyDescent="0.3">
      <c r="A8" s="23" t="s">
        <v>80</v>
      </c>
      <c r="B8" s="8" t="s">
        <v>72</v>
      </c>
      <c r="C8" s="75">
        <v>101</v>
      </c>
      <c r="D8" s="75">
        <v>103.4</v>
      </c>
      <c r="E8" s="75">
        <v>-2.4</v>
      </c>
      <c r="F8" s="75">
        <v>83</v>
      </c>
      <c r="G8" s="8" t="s">
        <v>81</v>
      </c>
      <c r="H8" s="24" t="s">
        <v>79</v>
      </c>
      <c r="J8" t="s">
        <v>80</v>
      </c>
      <c r="K8">
        <v>101</v>
      </c>
      <c r="L8">
        <v>103.4</v>
      </c>
      <c r="M8">
        <v>83</v>
      </c>
    </row>
    <row r="9" spans="1:13" ht="18" customHeight="1" x14ac:dyDescent="0.3">
      <c r="A9" s="25" t="s">
        <v>82</v>
      </c>
      <c r="B9" s="26" t="s">
        <v>83</v>
      </c>
      <c r="C9" s="76">
        <v>102.8</v>
      </c>
      <c r="D9" s="76">
        <v>103.5</v>
      </c>
      <c r="E9" s="76">
        <v>-0.7</v>
      </c>
      <c r="F9" s="76">
        <v>84</v>
      </c>
      <c r="G9" s="26" t="s">
        <v>84</v>
      </c>
      <c r="H9" s="28" t="s">
        <v>74</v>
      </c>
      <c r="J9" t="s">
        <v>82</v>
      </c>
      <c r="K9">
        <v>102.8</v>
      </c>
      <c r="L9">
        <v>103.5</v>
      </c>
      <c r="M9">
        <v>84</v>
      </c>
    </row>
    <row r="10" spans="1:13" ht="18" customHeight="1" x14ac:dyDescent="0.3">
      <c r="A10" s="25" t="s">
        <v>85</v>
      </c>
      <c r="B10" s="26" t="s">
        <v>83</v>
      </c>
      <c r="C10" s="76">
        <v>103.6</v>
      </c>
      <c r="D10" s="76">
        <v>103.9</v>
      </c>
      <c r="E10" s="76">
        <v>-0.3</v>
      </c>
      <c r="F10" s="76">
        <v>82</v>
      </c>
      <c r="G10" s="26" t="s">
        <v>86</v>
      </c>
      <c r="H10" s="29" t="s">
        <v>87</v>
      </c>
      <c r="J10" t="s">
        <v>85</v>
      </c>
      <c r="K10">
        <v>103.6</v>
      </c>
      <c r="L10">
        <v>103.9</v>
      </c>
      <c r="M10">
        <v>82</v>
      </c>
    </row>
    <row r="11" spans="1:13" ht="18" customHeight="1" x14ac:dyDescent="0.3">
      <c r="A11" s="25" t="s">
        <v>88</v>
      </c>
      <c r="B11" s="26" t="s">
        <v>83</v>
      </c>
      <c r="C11" s="76">
        <v>102.2</v>
      </c>
      <c r="D11" s="76">
        <v>104.4</v>
      </c>
      <c r="E11" s="76">
        <v>-2.2000000000000002</v>
      </c>
      <c r="F11" s="76">
        <v>88</v>
      </c>
      <c r="G11" s="26" t="s">
        <v>89</v>
      </c>
      <c r="H11" s="28" t="s">
        <v>79</v>
      </c>
      <c r="J11" t="s">
        <v>88</v>
      </c>
      <c r="K11">
        <v>102.2</v>
      </c>
      <c r="L11">
        <v>104.4</v>
      </c>
      <c r="M11">
        <v>88</v>
      </c>
    </row>
  </sheetData>
  <mergeCells count="2">
    <mergeCell ref="A2:H2"/>
    <mergeCell ref="A1:H1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4"/>
  <sheetViews>
    <sheetView showGridLines="0" zoomScaleNormal="100" workbookViewId="0">
      <selection activeCell="F9" sqref="F9"/>
    </sheetView>
  </sheetViews>
  <sheetFormatPr defaultColWidth="8.6640625" defaultRowHeight="14.4" x14ac:dyDescent="0.3"/>
  <cols>
    <col min="1" max="1" width="22" customWidth="1"/>
    <col min="2" max="2" width="38" customWidth="1"/>
    <col min="3" max="3" width="37" customWidth="1"/>
    <col min="4" max="4" width="21" customWidth="1"/>
    <col min="5" max="5" width="30" customWidth="1"/>
    <col min="6" max="6" width="25" customWidth="1"/>
    <col min="7" max="7" width="12" customWidth="1"/>
    <col min="8" max="8" width="12" style="56" customWidth="1"/>
    <col min="9" max="9" width="30" style="56" customWidth="1"/>
    <col min="10" max="10" width="8" customWidth="1"/>
  </cols>
  <sheetData>
    <row r="1" spans="1:10" ht="27.75" customHeight="1" x14ac:dyDescent="0.3">
      <c r="A1" s="92" t="s">
        <v>90</v>
      </c>
      <c r="B1" s="93"/>
      <c r="C1" s="93"/>
      <c r="D1" s="93"/>
      <c r="E1" s="93"/>
      <c r="F1" s="93"/>
      <c r="G1" s="93"/>
      <c r="H1" s="94"/>
      <c r="I1" s="94"/>
    </row>
    <row r="3" spans="1:10" ht="15" customHeight="1" x14ac:dyDescent="0.3">
      <c r="A3" s="85" t="s">
        <v>91</v>
      </c>
      <c r="B3" s="86"/>
      <c r="C3" s="86"/>
      <c r="D3" s="86"/>
      <c r="E3" s="86"/>
      <c r="F3" s="86"/>
      <c r="G3" s="86"/>
      <c r="H3" s="87"/>
      <c r="I3" s="87"/>
    </row>
    <row r="4" spans="1:10" ht="18" customHeight="1" x14ac:dyDescent="0.3">
      <c r="A4" s="30" t="s">
        <v>92</v>
      </c>
      <c r="B4" s="30" t="s">
        <v>93</v>
      </c>
      <c r="C4" s="30" t="s">
        <v>94</v>
      </c>
      <c r="D4" s="30" t="s">
        <v>95</v>
      </c>
      <c r="E4" s="30" t="s">
        <v>96</v>
      </c>
    </row>
    <row r="5" spans="1:10" ht="16.5" customHeight="1" x14ac:dyDescent="0.3">
      <c r="A5" s="2" t="s">
        <v>97</v>
      </c>
      <c r="B5" s="31" t="s">
        <v>98</v>
      </c>
      <c r="C5" s="95">
        <v>83</v>
      </c>
      <c r="D5" s="3" t="s">
        <v>99</v>
      </c>
      <c r="E5" s="84" t="s">
        <v>100</v>
      </c>
    </row>
    <row r="6" spans="1:10" ht="16.5" customHeight="1" x14ac:dyDescent="0.3">
      <c r="A6" s="32" t="s">
        <v>101</v>
      </c>
      <c r="B6" s="33" t="s">
        <v>102</v>
      </c>
      <c r="C6" s="96">
        <v>1.5</v>
      </c>
      <c r="D6" s="34" t="s">
        <v>103</v>
      </c>
      <c r="E6" s="83" t="s">
        <v>104</v>
      </c>
    </row>
    <row r="7" spans="1:10" ht="16.5" customHeight="1" x14ac:dyDescent="0.3">
      <c r="A7" s="2" t="s">
        <v>105</v>
      </c>
      <c r="B7" s="31" t="s">
        <v>106</v>
      </c>
      <c r="C7" s="95">
        <v>4</v>
      </c>
      <c r="D7" s="3" t="s">
        <v>99</v>
      </c>
      <c r="E7" s="84" t="s">
        <v>107</v>
      </c>
    </row>
    <row r="8" spans="1:10" ht="16.5" customHeight="1" x14ac:dyDescent="0.3">
      <c r="A8" s="32" t="s">
        <v>108</v>
      </c>
      <c r="B8" s="33" t="s">
        <v>109</v>
      </c>
      <c r="C8" s="96">
        <v>0.8</v>
      </c>
      <c r="D8" s="34" t="s">
        <v>103</v>
      </c>
      <c r="E8" s="83" t="s">
        <v>110</v>
      </c>
    </row>
    <row r="9" spans="1:10" ht="16.5" customHeight="1" x14ac:dyDescent="0.3">
      <c r="A9" s="2" t="s">
        <v>111</v>
      </c>
      <c r="B9" s="31" t="s">
        <v>112</v>
      </c>
      <c r="C9" s="95">
        <v>0.5</v>
      </c>
      <c r="D9" s="3" t="s">
        <v>103</v>
      </c>
      <c r="E9" s="84" t="s">
        <v>113</v>
      </c>
    </row>
    <row r="10" spans="1:10" ht="16.5" customHeight="1" x14ac:dyDescent="0.3">
      <c r="A10" s="32" t="s">
        <v>114</v>
      </c>
      <c r="B10" s="33" t="s">
        <v>115</v>
      </c>
      <c r="C10" s="96">
        <v>83.5</v>
      </c>
      <c r="D10" s="34" t="s">
        <v>116</v>
      </c>
      <c r="E10" s="83" t="s">
        <v>117</v>
      </c>
    </row>
    <row r="13" spans="1:10" ht="15" customHeight="1" x14ac:dyDescent="0.3">
      <c r="A13" s="90" t="s">
        <v>118</v>
      </c>
      <c r="B13" s="91"/>
      <c r="C13" s="91"/>
      <c r="D13" s="91"/>
      <c r="E13" s="91"/>
      <c r="F13" s="91"/>
      <c r="G13" s="91"/>
      <c r="H13" s="91"/>
      <c r="I13" s="91"/>
      <c r="J13" s="49"/>
    </row>
    <row r="14" spans="1:10" ht="36" customHeight="1" x14ac:dyDescent="0.3">
      <c r="A14" s="1" t="s">
        <v>119</v>
      </c>
      <c r="B14" s="1" t="s">
        <v>120</v>
      </c>
      <c r="C14" s="1" t="s">
        <v>121</v>
      </c>
      <c r="D14" s="1" t="s">
        <v>64</v>
      </c>
      <c r="E14" s="1" t="s">
        <v>9</v>
      </c>
      <c r="F14" s="1" t="s">
        <v>122</v>
      </c>
      <c r="G14" s="1" t="s">
        <v>123</v>
      </c>
      <c r="H14" s="1" t="s">
        <v>124</v>
      </c>
      <c r="I14" s="1" t="s">
        <v>125</v>
      </c>
    </row>
    <row r="15" spans="1:10" ht="21.75" customHeight="1" x14ac:dyDescent="0.3">
      <c r="A15" s="53" t="s">
        <v>126</v>
      </c>
      <c r="B15" s="35" t="s">
        <v>127</v>
      </c>
      <c r="C15" s="6">
        <v>24.34</v>
      </c>
      <c r="D15" s="6">
        <v>103.5</v>
      </c>
      <c r="E15" s="50">
        <v>-1.86</v>
      </c>
      <c r="F15" s="50">
        <v>95</v>
      </c>
      <c r="G15" s="6" t="s">
        <v>128</v>
      </c>
      <c r="H15" s="57">
        <v>0.2</v>
      </c>
      <c r="I15" s="60" t="s">
        <v>129</v>
      </c>
    </row>
    <row r="16" spans="1:10" ht="21.75" customHeight="1" x14ac:dyDescent="0.3">
      <c r="A16" s="54" t="s">
        <v>130</v>
      </c>
      <c r="B16" s="36" t="s">
        <v>131</v>
      </c>
      <c r="C16" s="12">
        <v>25.84</v>
      </c>
      <c r="D16" s="12">
        <v>103</v>
      </c>
      <c r="E16" s="51">
        <v>-0.6</v>
      </c>
      <c r="F16" s="51">
        <v>83</v>
      </c>
      <c r="G16" s="12" t="s">
        <v>132</v>
      </c>
      <c r="H16" s="58">
        <v>0.6</v>
      </c>
      <c r="I16" s="61" t="s">
        <v>133</v>
      </c>
    </row>
    <row r="17" spans="1:9" ht="21.75" customHeight="1" x14ac:dyDescent="0.3">
      <c r="A17" s="55" t="s">
        <v>134</v>
      </c>
      <c r="B17" s="37" t="s">
        <v>135</v>
      </c>
      <c r="C17" s="10">
        <v>26.64</v>
      </c>
      <c r="D17" s="10">
        <v>101.5</v>
      </c>
      <c r="E17" s="52">
        <v>2.04</v>
      </c>
      <c r="F17" s="52">
        <v>64</v>
      </c>
      <c r="G17" s="10" t="s">
        <v>136</v>
      </c>
      <c r="H17" s="59">
        <v>0.2</v>
      </c>
      <c r="I17" s="62" t="s">
        <v>137</v>
      </c>
    </row>
    <row r="20" spans="1:9" ht="15" customHeight="1" x14ac:dyDescent="0.3">
      <c r="A20" s="72" t="s">
        <v>138</v>
      </c>
      <c r="B20" s="63"/>
      <c r="C20" s="63"/>
      <c r="D20" s="63"/>
      <c r="E20" s="63"/>
      <c r="F20" s="63"/>
      <c r="G20" s="63"/>
      <c r="H20" s="71"/>
      <c r="I20" s="71"/>
    </row>
    <row r="21" spans="1:9" ht="15" customHeight="1" x14ac:dyDescent="0.3">
      <c r="A21" s="38" t="s">
        <v>119</v>
      </c>
      <c r="B21" s="38" t="s">
        <v>139</v>
      </c>
      <c r="C21" s="38" t="s">
        <v>140</v>
      </c>
    </row>
    <row r="22" spans="1:9" ht="18" customHeight="1" x14ac:dyDescent="0.3">
      <c r="A22" s="39" t="s">
        <v>141</v>
      </c>
      <c r="B22" s="82" t="s">
        <v>142</v>
      </c>
      <c r="C22" s="83" t="s">
        <v>143</v>
      </c>
    </row>
    <row r="23" spans="1:9" ht="18" customHeight="1" x14ac:dyDescent="0.3">
      <c r="A23" s="40" t="s">
        <v>144</v>
      </c>
      <c r="B23" s="81" t="s">
        <v>145</v>
      </c>
      <c r="C23" s="84" t="s">
        <v>146</v>
      </c>
    </row>
    <row r="24" spans="1:9" ht="18" customHeight="1" x14ac:dyDescent="0.3">
      <c r="A24" s="39" t="s">
        <v>147</v>
      </c>
      <c r="B24" s="82" t="s">
        <v>148</v>
      </c>
      <c r="C24" s="83" t="s">
        <v>149</v>
      </c>
    </row>
  </sheetData>
  <mergeCells count="4">
    <mergeCell ref="A1:I1"/>
    <mergeCell ref="A13:I13"/>
    <mergeCell ref="A20:I20"/>
    <mergeCell ref="A3:I3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8"/>
  <sheetViews>
    <sheetView showGridLines="0" topLeftCell="A6" zoomScaleNormal="100" workbookViewId="0">
      <selection activeCell="D23" sqref="D23:D27"/>
    </sheetView>
  </sheetViews>
  <sheetFormatPr defaultColWidth="8.6640625" defaultRowHeight="14.4" x14ac:dyDescent="0.3"/>
  <cols>
    <col min="1" max="1" width="24" customWidth="1"/>
    <col min="2" max="2" width="27" customWidth="1"/>
    <col min="3" max="3" width="20" customWidth="1"/>
    <col min="4" max="4" width="22" customWidth="1"/>
    <col min="5" max="5" width="21" customWidth="1"/>
    <col min="6" max="6" width="10" customWidth="1"/>
    <col min="7" max="7" width="24" customWidth="1"/>
  </cols>
  <sheetData>
    <row r="1" spans="1:7" ht="27.75" customHeight="1" x14ac:dyDescent="0.3">
      <c r="A1" s="89" t="s">
        <v>150</v>
      </c>
      <c r="B1" s="88"/>
      <c r="C1" s="88"/>
      <c r="D1" s="88"/>
      <c r="E1" s="88"/>
      <c r="F1" s="88"/>
      <c r="G1" s="88"/>
    </row>
    <row r="2" spans="1:7" ht="15" customHeight="1" x14ac:dyDescent="0.3">
      <c r="A2" s="69" t="s">
        <v>151</v>
      </c>
      <c r="B2" s="63"/>
      <c r="C2" s="63"/>
      <c r="D2" s="63"/>
      <c r="E2" s="63"/>
      <c r="F2" s="63"/>
      <c r="G2" s="63"/>
    </row>
    <row r="4" spans="1:7" ht="15" customHeight="1" x14ac:dyDescent="0.3">
      <c r="A4" s="85" t="s">
        <v>152</v>
      </c>
      <c r="B4" s="88"/>
      <c r="C4" s="88"/>
      <c r="D4" s="88"/>
      <c r="E4" s="88"/>
      <c r="F4" s="88"/>
      <c r="G4" s="88"/>
    </row>
    <row r="5" spans="1:7" ht="36" customHeight="1" x14ac:dyDescent="0.3">
      <c r="A5" s="1" t="s">
        <v>153</v>
      </c>
      <c r="B5" s="1" t="s">
        <v>154</v>
      </c>
      <c r="C5" s="1" t="s">
        <v>155</v>
      </c>
      <c r="D5" s="1" t="s">
        <v>156</v>
      </c>
      <c r="E5" s="1" t="s">
        <v>157</v>
      </c>
      <c r="F5" s="1" t="s">
        <v>158</v>
      </c>
      <c r="G5" s="1" t="s">
        <v>159</v>
      </c>
    </row>
    <row r="6" spans="1:7" ht="18" customHeight="1" x14ac:dyDescent="0.3">
      <c r="A6" s="41">
        <v>60</v>
      </c>
      <c r="B6" s="42">
        <v>4.68</v>
      </c>
      <c r="C6" s="42">
        <v>280.8</v>
      </c>
      <c r="D6" s="42">
        <v>8.42</v>
      </c>
      <c r="E6" s="42">
        <v>102.5</v>
      </c>
      <c r="F6" s="77">
        <v>83.5</v>
      </c>
      <c r="G6" s="42">
        <v>85.58</v>
      </c>
    </row>
    <row r="7" spans="1:7" ht="18" customHeight="1" x14ac:dyDescent="0.3">
      <c r="A7" s="41">
        <v>65</v>
      </c>
      <c r="B7" s="42">
        <v>4.68</v>
      </c>
      <c r="C7" s="42">
        <v>304.2</v>
      </c>
      <c r="D7" s="42">
        <v>9.1300000000000008</v>
      </c>
      <c r="E7" s="42">
        <v>111</v>
      </c>
      <c r="F7" s="77">
        <v>83.5</v>
      </c>
      <c r="G7" s="42">
        <v>92.71</v>
      </c>
    </row>
    <row r="8" spans="1:7" ht="18" customHeight="1" x14ac:dyDescent="0.3">
      <c r="A8" s="41">
        <v>70</v>
      </c>
      <c r="B8" s="42">
        <v>4.68</v>
      </c>
      <c r="C8" s="42">
        <v>327.60000000000002</v>
      </c>
      <c r="D8" s="42">
        <v>9.83</v>
      </c>
      <c r="E8" s="42">
        <v>119.6</v>
      </c>
      <c r="F8" s="77">
        <v>83.5</v>
      </c>
      <c r="G8" s="42">
        <v>99.84</v>
      </c>
    </row>
    <row r="9" spans="1:7" ht="18" customHeight="1" x14ac:dyDescent="0.3">
      <c r="A9" s="27">
        <v>75</v>
      </c>
      <c r="B9" s="26">
        <v>4.68</v>
      </c>
      <c r="C9" s="26">
        <v>351</v>
      </c>
      <c r="D9" s="26">
        <v>10.53</v>
      </c>
      <c r="E9" s="26">
        <v>128.1</v>
      </c>
      <c r="F9" s="76">
        <v>83.5</v>
      </c>
      <c r="G9" s="26">
        <v>106.98</v>
      </c>
    </row>
    <row r="10" spans="1:7" ht="18" customHeight="1" x14ac:dyDescent="0.3">
      <c r="A10" s="27">
        <v>80</v>
      </c>
      <c r="B10" s="26">
        <v>4.68</v>
      </c>
      <c r="C10" s="26">
        <v>374.4</v>
      </c>
      <c r="D10" s="26">
        <v>11.23</v>
      </c>
      <c r="E10" s="26">
        <v>136.69999999999999</v>
      </c>
      <c r="F10" s="76">
        <v>83.5</v>
      </c>
      <c r="G10" s="26">
        <v>114.11</v>
      </c>
    </row>
    <row r="11" spans="1:7" ht="18" customHeight="1" x14ac:dyDescent="0.3">
      <c r="A11" s="43" t="s">
        <v>160</v>
      </c>
      <c r="B11" s="44">
        <v>4.68</v>
      </c>
      <c r="C11" s="44">
        <v>388.4</v>
      </c>
      <c r="D11" s="44">
        <v>11.65</v>
      </c>
      <c r="E11" s="44">
        <v>141.80000000000001</v>
      </c>
      <c r="F11" s="78">
        <v>83.5</v>
      </c>
      <c r="G11" s="44">
        <v>118.39</v>
      </c>
    </row>
    <row r="12" spans="1:7" ht="18" customHeight="1" x14ac:dyDescent="0.3">
      <c r="A12" s="27">
        <v>85</v>
      </c>
      <c r="B12" s="26">
        <v>4.68</v>
      </c>
      <c r="C12" s="26">
        <v>397.8</v>
      </c>
      <c r="D12" s="26">
        <v>11.93</v>
      </c>
      <c r="E12" s="26">
        <v>145.19999999999999</v>
      </c>
      <c r="F12" s="76">
        <v>83.5</v>
      </c>
      <c r="G12" s="26">
        <v>121.24</v>
      </c>
    </row>
    <row r="13" spans="1:7" ht="18" customHeight="1" x14ac:dyDescent="0.3">
      <c r="A13" s="27">
        <v>90</v>
      </c>
      <c r="B13" s="26">
        <v>4.68</v>
      </c>
      <c r="C13" s="26">
        <v>421.2</v>
      </c>
      <c r="D13" s="26">
        <v>12.64</v>
      </c>
      <c r="E13" s="26">
        <v>153.69999999999999</v>
      </c>
      <c r="F13" s="76">
        <v>83.5</v>
      </c>
      <c r="G13" s="26">
        <v>128.37</v>
      </c>
    </row>
    <row r="14" spans="1:7" ht="18" customHeight="1" x14ac:dyDescent="0.3">
      <c r="A14" s="45">
        <v>95</v>
      </c>
      <c r="B14" s="46">
        <v>4.68</v>
      </c>
      <c r="C14" s="46">
        <v>444.6</v>
      </c>
      <c r="D14" s="46">
        <v>13.34</v>
      </c>
      <c r="E14" s="46">
        <v>162.30000000000001</v>
      </c>
      <c r="F14" s="79">
        <v>83.5</v>
      </c>
      <c r="G14" s="46">
        <v>135.5</v>
      </c>
    </row>
    <row r="15" spans="1:7" ht="18" customHeight="1" x14ac:dyDescent="0.3">
      <c r="A15" s="45">
        <v>100</v>
      </c>
      <c r="B15" s="46">
        <v>4.68</v>
      </c>
      <c r="C15" s="46">
        <v>468</v>
      </c>
      <c r="D15" s="46">
        <v>14.04</v>
      </c>
      <c r="E15" s="46">
        <v>170.8</v>
      </c>
      <c r="F15" s="79">
        <v>83.5</v>
      </c>
      <c r="G15" s="46">
        <v>142.63</v>
      </c>
    </row>
    <row r="16" spans="1:7" ht="18" customHeight="1" x14ac:dyDescent="0.3">
      <c r="A16" s="45">
        <v>110</v>
      </c>
      <c r="B16" s="46">
        <v>4.68</v>
      </c>
      <c r="C16" s="46">
        <v>514.79999999999995</v>
      </c>
      <c r="D16" s="46">
        <v>15.44</v>
      </c>
      <c r="E16" s="46">
        <v>187.9</v>
      </c>
      <c r="F16" s="79">
        <v>83.5</v>
      </c>
      <c r="G16" s="46">
        <v>156.9</v>
      </c>
    </row>
    <row r="18" spans="1:7" ht="39.75" customHeight="1" x14ac:dyDescent="0.3">
      <c r="A18" s="73" t="s">
        <v>161</v>
      </c>
      <c r="B18" s="63"/>
      <c r="C18" s="63"/>
      <c r="D18" s="63"/>
      <c r="E18" s="63"/>
      <c r="F18" s="63"/>
      <c r="G18" s="63"/>
    </row>
  </sheetData>
  <mergeCells count="4">
    <mergeCell ref="A2:G2"/>
    <mergeCell ref="A4:G4"/>
    <mergeCell ref="A1:G1"/>
    <mergeCell ref="A18:G18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7"/>
  <sheetViews>
    <sheetView showGridLines="0" tabSelected="1" zoomScaleNormal="100" workbookViewId="0">
      <selection activeCell="J9" sqref="J9"/>
    </sheetView>
  </sheetViews>
  <sheetFormatPr defaultColWidth="8.6640625" defaultRowHeight="14.4" x14ac:dyDescent="0.3"/>
  <cols>
    <col min="1" max="1" width="34" customWidth="1"/>
    <col min="2" max="2" width="52" customWidth="1"/>
    <col min="3" max="3" width="38" customWidth="1"/>
    <col min="4" max="4" width="16" customWidth="1"/>
    <col min="5" max="5" width="13" customWidth="1"/>
  </cols>
  <sheetData>
    <row r="1" spans="1:5" ht="27.75" customHeight="1" x14ac:dyDescent="0.3">
      <c r="A1" s="70" t="s">
        <v>162</v>
      </c>
      <c r="B1" s="63"/>
      <c r="C1" s="63"/>
      <c r="D1" s="63"/>
      <c r="E1" s="63"/>
    </row>
    <row r="3" spans="1:5" ht="15" customHeight="1" x14ac:dyDescent="0.3">
      <c r="A3" s="30" t="s">
        <v>163</v>
      </c>
      <c r="B3" s="30" t="s">
        <v>139</v>
      </c>
      <c r="C3" s="30" t="s">
        <v>164</v>
      </c>
      <c r="D3" s="30" t="s">
        <v>165</v>
      </c>
      <c r="E3" s="30" t="s">
        <v>166</v>
      </c>
    </row>
    <row r="4" spans="1:5" ht="18" customHeight="1" x14ac:dyDescent="0.3">
      <c r="A4" s="7" t="s">
        <v>167</v>
      </c>
      <c r="B4" s="80" t="s">
        <v>168</v>
      </c>
      <c r="C4" s="7" t="s">
        <v>169</v>
      </c>
      <c r="D4" s="7" t="s">
        <v>170</v>
      </c>
      <c r="E4" s="47" t="s">
        <v>171</v>
      </c>
    </row>
    <row r="5" spans="1:5" ht="18" customHeight="1" x14ac:dyDescent="0.3">
      <c r="A5" s="2" t="s">
        <v>172</v>
      </c>
      <c r="B5" s="81" t="s">
        <v>173</v>
      </c>
      <c r="C5" s="2" t="s">
        <v>174</v>
      </c>
      <c r="D5" s="2" t="s">
        <v>170</v>
      </c>
      <c r="E5" s="48" t="s">
        <v>171</v>
      </c>
    </row>
    <row r="6" spans="1:5" ht="18" customHeight="1" x14ac:dyDescent="0.3">
      <c r="A6" s="7" t="s">
        <v>175</v>
      </c>
      <c r="B6" s="80" t="s">
        <v>176</v>
      </c>
      <c r="C6" s="7" t="s">
        <v>177</v>
      </c>
      <c r="D6" s="7" t="s">
        <v>170</v>
      </c>
      <c r="E6" s="47" t="s">
        <v>178</v>
      </c>
    </row>
    <row r="7" spans="1:5" ht="18" customHeight="1" x14ac:dyDescent="0.3">
      <c r="A7" s="2" t="s">
        <v>179</v>
      </c>
      <c r="B7" s="81" t="s">
        <v>180</v>
      </c>
      <c r="C7" s="2" t="s">
        <v>181</v>
      </c>
      <c r="D7" s="2" t="s">
        <v>170</v>
      </c>
      <c r="E7" s="48" t="s">
        <v>178</v>
      </c>
    </row>
    <row r="8" spans="1:5" ht="18" customHeight="1" x14ac:dyDescent="0.3">
      <c r="A8" s="7" t="s">
        <v>182</v>
      </c>
      <c r="B8" s="80" t="s">
        <v>183</v>
      </c>
      <c r="C8" s="7" t="s">
        <v>184</v>
      </c>
      <c r="D8" s="7" t="s">
        <v>170</v>
      </c>
      <c r="E8" s="47" t="s">
        <v>185</v>
      </c>
    </row>
    <row r="9" spans="1:5" ht="18" customHeight="1" x14ac:dyDescent="0.3">
      <c r="A9" s="2" t="s">
        <v>186</v>
      </c>
      <c r="B9" s="81" t="s">
        <v>187</v>
      </c>
      <c r="C9" s="2" t="s">
        <v>188</v>
      </c>
      <c r="D9" s="2" t="s">
        <v>170</v>
      </c>
      <c r="E9" s="48" t="s">
        <v>171</v>
      </c>
    </row>
    <row r="10" spans="1:5" ht="18" customHeight="1" x14ac:dyDescent="0.3">
      <c r="A10" s="7" t="s">
        <v>189</v>
      </c>
      <c r="B10" s="80" t="s">
        <v>190</v>
      </c>
      <c r="C10" s="7" t="s">
        <v>191</v>
      </c>
      <c r="D10" s="7" t="s">
        <v>192</v>
      </c>
      <c r="E10" s="47" t="s">
        <v>193</v>
      </c>
    </row>
    <row r="11" spans="1:5" ht="18" customHeight="1" x14ac:dyDescent="0.3">
      <c r="A11" s="2" t="s">
        <v>194</v>
      </c>
      <c r="B11" s="81" t="s">
        <v>195</v>
      </c>
      <c r="C11" s="2" t="s">
        <v>196</v>
      </c>
      <c r="D11" s="2" t="s">
        <v>192</v>
      </c>
      <c r="E11" s="48" t="s">
        <v>185</v>
      </c>
    </row>
    <row r="12" spans="1:5" ht="18" customHeight="1" x14ac:dyDescent="0.3">
      <c r="A12" s="7" t="s">
        <v>197</v>
      </c>
      <c r="B12" s="80" t="s">
        <v>198</v>
      </c>
      <c r="C12" s="7" t="s">
        <v>199</v>
      </c>
      <c r="D12" s="7" t="s">
        <v>192</v>
      </c>
      <c r="E12" s="47" t="s">
        <v>185</v>
      </c>
    </row>
    <row r="13" spans="1:5" ht="18" customHeight="1" x14ac:dyDescent="0.3">
      <c r="A13" s="2" t="s">
        <v>200</v>
      </c>
      <c r="B13" s="81" t="s">
        <v>201</v>
      </c>
      <c r="C13" s="2" t="s">
        <v>202</v>
      </c>
      <c r="D13" s="2" t="s">
        <v>192</v>
      </c>
      <c r="E13" s="48" t="s">
        <v>185</v>
      </c>
    </row>
    <row r="14" spans="1:5" ht="18" customHeight="1" x14ac:dyDescent="0.3">
      <c r="A14" s="7" t="s">
        <v>203</v>
      </c>
      <c r="B14" s="80" t="s">
        <v>204</v>
      </c>
      <c r="C14" s="7" t="s">
        <v>205</v>
      </c>
      <c r="D14" s="7" t="s">
        <v>206</v>
      </c>
      <c r="E14" s="47" t="s">
        <v>185</v>
      </c>
    </row>
    <row r="15" spans="1:5" ht="18" customHeight="1" x14ac:dyDescent="0.3">
      <c r="A15" s="2" t="s">
        <v>207</v>
      </c>
      <c r="B15" s="81" t="s">
        <v>208</v>
      </c>
      <c r="C15" s="2" t="s">
        <v>209</v>
      </c>
      <c r="D15" s="2" t="s">
        <v>206</v>
      </c>
      <c r="E15" s="48" t="s">
        <v>185</v>
      </c>
    </row>
    <row r="16" spans="1:5" ht="18" customHeight="1" x14ac:dyDescent="0.3">
      <c r="A16" s="7" t="s">
        <v>210</v>
      </c>
      <c r="B16" s="80" t="s">
        <v>211</v>
      </c>
      <c r="C16" s="7" t="s">
        <v>212</v>
      </c>
      <c r="D16" s="7" t="s">
        <v>213</v>
      </c>
      <c r="E16" s="47" t="s">
        <v>185</v>
      </c>
    </row>
    <row r="17" spans="1:5" ht="18" customHeight="1" x14ac:dyDescent="0.3">
      <c r="A17" s="2" t="s">
        <v>214</v>
      </c>
      <c r="B17" s="81" t="s">
        <v>215</v>
      </c>
      <c r="C17" s="2" t="s">
        <v>216</v>
      </c>
      <c r="D17" s="2" t="s">
        <v>217</v>
      </c>
      <c r="E17" s="48" t="s">
        <v>218</v>
      </c>
    </row>
  </sheetData>
  <mergeCells count="1">
    <mergeCell ref="A1:E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Balance Sheet</vt:lpstr>
      <vt:lpstr>Quarterly Balance &amp; Price</vt:lpstr>
      <vt:lpstr>Scenario Analysis</vt:lpstr>
      <vt:lpstr>India Import Analysis</vt:lpstr>
      <vt:lpstr>Formula Reference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MOHIT DAS</cp:lastModifiedBy>
  <cp:revision>2</cp:revision>
  <dcterms:created xsi:type="dcterms:W3CDTF">2026-04-05T10:29:45Z</dcterms:created>
  <dcterms:modified xsi:type="dcterms:W3CDTF">2026-04-05T13:22:44Z</dcterms:modified>
  <dc:language>en-US</dc:language>
</cp:coreProperties>
</file>